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Plan1" sheetId="1" r:id="rId1"/>
  </sheets>
  <calcPr calcId="152511"/>
</workbook>
</file>

<file path=xl/calcChain.xml><?xml version="1.0" encoding="utf-8"?>
<calcChain xmlns="http://schemas.openxmlformats.org/spreadsheetml/2006/main">
  <c r="M25" i="1" l="1"/>
  <c r="T17" i="1"/>
  <c r="S25" i="1"/>
  <c r="R25" i="1"/>
  <c r="T25" i="1"/>
  <c r="S19" i="1"/>
  <c r="R18" i="1"/>
  <c r="M18" i="1"/>
  <c r="M19" i="1"/>
  <c r="N19" i="1"/>
  <c r="N18" i="1"/>
  <c r="N17" i="1" l="1"/>
  <c r="M17" i="1"/>
  <c r="N25" i="1"/>
  <c r="T5" i="1" l="1"/>
  <c r="T7" i="1"/>
  <c r="S9" i="1"/>
  <c r="S4" i="1"/>
  <c r="R8" i="1"/>
  <c r="M9" i="1"/>
  <c r="N9" i="1" s="1"/>
  <c r="M16" i="1"/>
  <c r="N16" i="1"/>
  <c r="M15" i="1"/>
  <c r="N15" i="1"/>
  <c r="M14" i="1"/>
  <c r="N14" i="1"/>
  <c r="K16" i="1"/>
  <c r="K15" i="1"/>
  <c r="K14" i="1"/>
  <c r="K9" i="1"/>
  <c r="K8" i="1"/>
  <c r="K5" i="1" l="1"/>
  <c r="M5" i="1" s="1"/>
  <c r="N5" i="1" s="1"/>
  <c r="K6" i="1"/>
  <c r="M6" i="1" s="1"/>
  <c r="K7" i="1"/>
  <c r="M7" i="1" s="1"/>
  <c r="N7" i="1" s="1"/>
  <c r="M8" i="1"/>
  <c r="N8" i="1" s="1"/>
  <c r="K10" i="1"/>
  <c r="M10" i="1" s="1"/>
  <c r="N10" i="1" s="1"/>
  <c r="K11" i="1"/>
  <c r="M11" i="1" s="1"/>
  <c r="N11" i="1" s="1"/>
  <c r="K12" i="1"/>
  <c r="M12" i="1" s="1"/>
  <c r="N12" i="1" s="1"/>
  <c r="K13" i="1"/>
  <c r="M13" i="1" s="1"/>
  <c r="N13" i="1" s="1"/>
  <c r="K4" i="1"/>
  <c r="M4" i="1" s="1"/>
  <c r="N4" i="1" s="1"/>
  <c r="N6" i="1" l="1"/>
  <c r="R6" i="1"/>
</calcChain>
</file>

<file path=xl/sharedStrings.xml><?xml version="1.0" encoding="utf-8"?>
<sst xmlns="http://schemas.openxmlformats.org/spreadsheetml/2006/main" count="98" uniqueCount="45">
  <si>
    <t>QUADRO DE DISTRIBUIÇÃO</t>
  </si>
  <si>
    <t>CIRCUITO</t>
  </si>
  <si>
    <t>DESCRIÇÃO</t>
  </si>
  <si>
    <t>AR COND</t>
  </si>
  <si>
    <t>RESERVA</t>
  </si>
  <si>
    <t>TOTAL:</t>
  </si>
  <si>
    <t>ILUMINAÇÃO(W)</t>
  </si>
  <si>
    <t>TOMADAS(W)</t>
  </si>
  <si>
    <t>TOTAL</t>
  </si>
  <si>
    <t>UNIDADE</t>
  </si>
  <si>
    <t>POTÊNCIA</t>
  </si>
  <si>
    <t>ATIVA(W)</t>
  </si>
  <si>
    <t>FATOR</t>
  </si>
  <si>
    <t>DE POTÊNCIA</t>
  </si>
  <si>
    <t>APARENTE</t>
  </si>
  <si>
    <t>CORRENTE</t>
  </si>
  <si>
    <t>DE PROJETO</t>
  </si>
  <si>
    <t>DISJUNTOR</t>
  </si>
  <si>
    <t>A</t>
  </si>
  <si>
    <t>FIO/CABO</t>
  </si>
  <si>
    <t>mm²</t>
  </si>
  <si>
    <t>FASES</t>
  </si>
  <si>
    <t>A B C</t>
  </si>
  <si>
    <t>B</t>
  </si>
  <si>
    <t>C</t>
  </si>
  <si>
    <t>(W)</t>
  </si>
  <si>
    <t>1x10</t>
  </si>
  <si>
    <t>1X10</t>
  </si>
  <si>
    <t>1X20</t>
  </si>
  <si>
    <t>1F+N+ T #2.5</t>
  </si>
  <si>
    <t>ABC</t>
  </si>
  <si>
    <t>TUG  QUARTOS 1</t>
  </si>
  <si>
    <t>TUG QUARTOS 2</t>
  </si>
  <si>
    <t>TUG COZINHA/SERVIÇO</t>
  </si>
  <si>
    <t>AR EXTERNO</t>
  </si>
  <si>
    <t>CHUV. ELÉTRICO</t>
  </si>
  <si>
    <t>TUG ESTAR/JANTAR</t>
  </si>
  <si>
    <t>DECK/PISCINA</t>
  </si>
  <si>
    <t>1x20</t>
  </si>
  <si>
    <t>3F+N+ T # 16.0</t>
  </si>
  <si>
    <t>MOTOR PORTÃO(600W)</t>
  </si>
  <si>
    <t>BOMBA PISCINA(1000W)</t>
  </si>
  <si>
    <t>DRENO PISCINA(1200W)</t>
  </si>
  <si>
    <t>1X16</t>
  </si>
  <si>
    <t>1F+N+ T #4.0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</si>
</sst>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2" fontId="0" fillId="0" borderId="0" xfId="0" applyNumberForma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5"/>
  <sheetViews>
    <sheetView tabSelected="1" zoomScale="70" zoomScaleNormal="70" workbookViewId="0">
      <selection activeCell="K22" sqref="K22"/>
    </sheetView>
  </sheetViews>
  <sheetFormatPr defaultRowHeight="15" x14ac:dyDescent="0.25"/>
  <cols>
    <col min="1" max="1" width="12.85546875" bestFit="1" customWidth="1"/>
    <col min="2" max="2" width="24.85546875" bestFit="1" customWidth="1"/>
    <col min="10" max="10" width="12" bestFit="1" customWidth="1"/>
    <col min="11" max="11" width="13.42578125" bestFit="1" customWidth="1"/>
    <col min="12" max="12" width="17.28515625" bestFit="1" customWidth="1"/>
    <col min="13" max="13" width="14.28515625" bestFit="1" customWidth="1"/>
    <col min="14" max="14" width="16.7109375" bestFit="1" customWidth="1"/>
    <col min="15" max="15" width="15" bestFit="1" customWidth="1"/>
    <col min="16" max="16" width="18.7109375" bestFit="1" customWidth="1"/>
    <col min="17" max="17" width="9.5703125" bestFit="1" customWidth="1"/>
    <col min="18" max="18" width="7.85546875" bestFit="1" customWidth="1"/>
    <col min="19" max="20" width="8.85546875" bestFit="1" customWidth="1"/>
    <col min="21" max="21" width="4.28515625" bestFit="1" customWidth="1"/>
  </cols>
  <sheetData>
    <row r="1" spans="1:22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x14ac:dyDescent="0.25">
      <c r="A2" s="7" t="s">
        <v>1</v>
      </c>
      <c r="B2" s="7" t="s">
        <v>2</v>
      </c>
      <c r="C2" s="7" t="s">
        <v>6</v>
      </c>
      <c r="D2" s="7"/>
      <c r="E2" s="7"/>
      <c r="F2" s="6" t="s">
        <v>7</v>
      </c>
      <c r="G2" s="6"/>
      <c r="H2" s="6"/>
      <c r="I2" s="6"/>
      <c r="J2" s="1" t="s">
        <v>8</v>
      </c>
      <c r="K2" s="1" t="s">
        <v>10</v>
      </c>
      <c r="L2" s="1" t="s">
        <v>12</v>
      </c>
      <c r="M2" s="1" t="s">
        <v>10</v>
      </c>
      <c r="N2" s="1" t="s">
        <v>15</v>
      </c>
      <c r="O2" s="1" t="s">
        <v>17</v>
      </c>
      <c r="P2" s="1" t="s">
        <v>19</v>
      </c>
      <c r="Q2" s="1" t="s">
        <v>21</v>
      </c>
      <c r="R2" s="1" t="s">
        <v>18</v>
      </c>
      <c r="S2" s="1" t="s">
        <v>23</v>
      </c>
      <c r="T2" s="1" t="s">
        <v>24</v>
      </c>
      <c r="U2" s="1"/>
      <c r="V2" s="1"/>
    </row>
    <row r="3" spans="1:22" x14ac:dyDescent="0.25">
      <c r="A3" s="7"/>
      <c r="B3" s="7"/>
      <c r="C3" s="3">
        <v>16</v>
      </c>
      <c r="D3" s="3">
        <v>20</v>
      </c>
      <c r="E3" s="3">
        <v>40</v>
      </c>
      <c r="F3" s="4">
        <v>100</v>
      </c>
      <c r="G3" s="4">
        <v>600</v>
      </c>
      <c r="H3" s="4">
        <v>1600</v>
      </c>
      <c r="I3" s="4">
        <v>3500</v>
      </c>
      <c r="J3" s="1" t="s">
        <v>9</v>
      </c>
      <c r="K3" s="1" t="s">
        <v>11</v>
      </c>
      <c r="L3" s="1" t="s">
        <v>13</v>
      </c>
      <c r="M3" s="1" t="s">
        <v>14</v>
      </c>
      <c r="N3" s="1" t="s">
        <v>16</v>
      </c>
      <c r="O3" s="1" t="s">
        <v>18</v>
      </c>
      <c r="P3" s="1" t="s">
        <v>20</v>
      </c>
      <c r="Q3" s="1" t="s">
        <v>30</v>
      </c>
      <c r="R3" s="1" t="s">
        <v>22</v>
      </c>
      <c r="S3" s="1" t="s">
        <v>25</v>
      </c>
      <c r="T3" s="1" t="s">
        <v>25</v>
      </c>
      <c r="U3" s="1"/>
      <c r="V3" s="1"/>
    </row>
    <row r="4" spans="1:22" x14ac:dyDescent="0.25">
      <c r="A4">
        <v>1</v>
      </c>
      <c r="B4" t="s">
        <v>31</v>
      </c>
      <c r="C4">
        <v>2</v>
      </c>
      <c r="D4">
        <v>3</v>
      </c>
      <c r="E4">
        <v>2</v>
      </c>
      <c r="F4">
        <v>15</v>
      </c>
      <c r="G4">
        <v>2</v>
      </c>
      <c r="H4">
        <v>0</v>
      </c>
      <c r="I4">
        <v>0</v>
      </c>
      <c r="K4">
        <f t="shared" ref="K4:K16" si="0">C4*$C$3+D4*$D$3+E4*$E$3+F4*$F$3+G4*$G$3+H4*$H$3+I4*$I$3</f>
        <v>2872</v>
      </c>
      <c r="L4">
        <v>1</v>
      </c>
      <c r="M4" s="1">
        <f>L4*K4</f>
        <v>2872</v>
      </c>
      <c r="N4" s="2">
        <f>M4*0.0045444</f>
        <v>13.051516799999998</v>
      </c>
      <c r="O4" t="s">
        <v>38</v>
      </c>
      <c r="P4" t="s">
        <v>29</v>
      </c>
      <c r="Q4" t="s">
        <v>23</v>
      </c>
      <c r="R4">
        <v>0</v>
      </c>
      <c r="S4">
        <f>M4</f>
        <v>2872</v>
      </c>
      <c r="T4">
        <v>0</v>
      </c>
    </row>
    <row r="5" spans="1:22" x14ac:dyDescent="0.25">
      <c r="A5">
        <v>2</v>
      </c>
      <c r="B5" t="s">
        <v>32</v>
      </c>
      <c r="C5">
        <v>1</v>
      </c>
      <c r="D5">
        <v>1</v>
      </c>
      <c r="E5">
        <v>2</v>
      </c>
      <c r="F5">
        <v>14</v>
      </c>
      <c r="G5">
        <v>1</v>
      </c>
      <c r="H5">
        <v>0</v>
      </c>
      <c r="I5">
        <v>0</v>
      </c>
      <c r="K5">
        <f t="shared" si="0"/>
        <v>2116</v>
      </c>
      <c r="L5">
        <v>1</v>
      </c>
      <c r="M5" s="1">
        <f t="shared" ref="M5:M19" si="1">L5*K5</f>
        <v>2116</v>
      </c>
      <c r="N5" s="2">
        <f t="shared" ref="N5:N19" si="2">M5*0.0045444</f>
        <v>9.6159503999999991</v>
      </c>
      <c r="O5" t="s">
        <v>27</v>
      </c>
      <c r="P5" t="s">
        <v>29</v>
      </c>
      <c r="Q5" t="s">
        <v>24</v>
      </c>
      <c r="R5">
        <v>0</v>
      </c>
      <c r="S5">
        <v>0</v>
      </c>
      <c r="T5">
        <f>M5</f>
        <v>2116</v>
      </c>
    </row>
    <row r="6" spans="1:22" x14ac:dyDescent="0.25">
      <c r="A6">
        <v>3</v>
      </c>
      <c r="B6" t="s">
        <v>36</v>
      </c>
      <c r="C6">
        <v>0</v>
      </c>
      <c r="D6">
        <v>2</v>
      </c>
      <c r="E6">
        <v>2</v>
      </c>
      <c r="F6">
        <v>13</v>
      </c>
      <c r="G6">
        <v>0</v>
      </c>
      <c r="H6">
        <v>0</v>
      </c>
      <c r="I6">
        <v>0</v>
      </c>
      <c r="K6">
        <f t="shared" si="0"/>
        <v>1420</v>
      </c>
      <c r="L6">
        <v>1</v>
      </c>
      <c r="M6" s="1">
        <f t="shared" si="1"/>
        <v>1420</v>
      </c>
      <c r="N6" s="5">
        <f t="shared" si="2"/>
        <v>6.4530479999999999</v>
      </c>
      <c r="O6" t="s">
        <v>26</v>
      </c>
      <c r="P6" t="s">
        <v>29</v>
      </c>
      <c r="Q6" t="s">
        <v>18</v>
      </c>
      <c r="R6">
        <f>M6</f>
        <v>1420</v>
      </c>
      <c r="S6">
        <v>0</v>
      </c>
      <c r="T6">
        <v>0</v>
      </c>
    </row>
    <row r="7" spans="1:22" x14ac:dyDescent="0.25">
      <c r="A7">
        <v>4</v>
      </c>
      <c r="B7" t="s">
        <v>33</v>
      </c>
      <c r="C7">
        <v>0</v>
      </c>
      <c r="D7">
        <v>1</v>
      </c>
      <c r="E7">
        <v>2</v>
      </c>
      <c r="F7">
        <v>8</v>
      </c>
      <c r="G7">
        <v>3</v>
      </c>
      <c r="H7">
        <v>0</v>
      </c>
      <c r="I7">
        <v>0</v>
      </c>
      <c r="K7">
        <f t="shared" si="0"/>
        <v>2700</v>
      </c>
      <c r="L7">
        <v>1</v>
      </c>
      <c r="M7" s="1">
        <f t="shared" si="1"/>
        <v>2700</v>
      </c>
      <c r="N7" s="2">
        <f t="shared" si="2"/>
        <v>12.269879999999999</v>
      </c>
      <c r="O7" t="s">
        <v>43</v>
      </c>
      <c r="P7" t="s">
        <v>29</v>
      </c>
      <c r="Q7" t="s">
        <v>24</v>
      </c>
      <c r="R7">
        <v>0</v>
      </c>
      <c r="S7">
        <v>0</v>
      </c>
      <c r="T7">
        <f>M7</f>
        <v>2700</v>
      </c>
    </row>
    <row r="8" spans="1:22" x14ac:dyDescent="0.25">
      <c r="A8">
        <v>5</v>
      </c>
      <c r="B8" t="s">
        <v>34</v>
      </c>
      <c r="C8">
        <v>9</v>
      </c>
      <c r="D8">
        <v>0</v>
      </c>
      <c r="E8">
        <v>5</v>
      </c>
      <c r="F8">
        <v>13</v>
      </c>
      <c r="G8">
        <v>0</v>
      </c>
      <c r="H8">
        <v>0</v>
      </c>
      <c r="I8">
        <v>0</v>
      </c>
      <c r="K8">
        <f>C8*$C$3+D8*$D$3+E8*$E$3+F8*$F$3+G8*$G$3+H8*$H$3+I8*$I$3</f>
        <v>1644</v>
      </c>
      <c r="L8">
        <v>1</v>
      </c>
      <c r="M8" s="1">
        <f t="shared" si="1"/>
        <v>1644</v>
      </c>
      <c r="N8" s="2">
        <f t="shared" si="2"/>
        <v>7.470993599999999</v>
      </c>
      <c r="O8" t="s">
        <v>27</v>
      </c>
      <c r="P8" t="s">
        <v>29</v>
      </c>
      <c r="Q8" t="s">
        <v>18</v>
      </c>
      <c r="R8">
        <f>M8</f>
        <v>1644</v>
      </c>
      <c r="S8">
        <v>0</v>
      </c>
      <c r="T8">
        <v>0</v>
      </c>
    </row>
    <row r="9" spans="1:22" x14ac:dyDescent="0.25">
      <c r="A9">
        <v>6</v>
      </c>
      <c r="B9" t="s">
        <v>37</v>
      </c>
      <c r="C9">
        <v>11</v>
      </c>
      <c r="D9">
        <v>3</v>
      </c>
      <c r="E9">
        <v>0</v>
      </c>
      <c r="F9">
        <v>4</v>
      </c>
      <c r="G9">
        <v>2</v>
      </c>
      <c r="H9">
        <v>0</v>
      </c>
      <c r="I9">
        <v>0</v>
      </c>
      <c r="K9">
        <f>C9*$C$3+D9*$D$3+E9*$E$3+F9*$F$3+G9*$G$3+H9*$H$3+I9*$I$3</f>
        <v>1836</v>
      </c>
      <c r="L9">
        <v>1</v>
      </c>
      <c r="M9" s="1">
        <f t="shared" si="1"/>
        <v>1836</v>
      </c>
      <c r="N9" s="2">
        <f t="shared" si="2"/>
        <v>8.3435183999999989</v>
      </c>
      <c r="O9" t="s">
        <v>27</v>
      </c>
      <c r="P9" t="s">
        <v>29</v>
      </c>
      <c r="Q9" t="s">
        <v>23</v>
      </c>
      <c r="R9">
        <v>0</v>
      </c>
      <c r="S9">
        <f>M9</f>
        <v>1836</v>
      </c>
      <c r="T9">
        <v>0</v>
      </c>
    </row>
    <row r="10" spans="1:22" x14ac:dyDescent="0.25">
      <c r="A10">
        <v>7</v>
      </c>
      <c r="B10" t="s">
        <v>3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K10">
        <f t="shared" si="0"/>
        <v>1600</v>
      </c>
      <c r="L10">
        <v>1</v>
      </c>
      <c r="M10" s="1">
        <f t="shared" si="1"/>
        <v>1600</v>
      </c>
      <c r="N10" s="2">
        <f t="shared" si="2"/>
        <v>7.2710399999999993</v>
      </c>
      <c r="O10" t="s">
        <v>27</v>
      </c>
      <c r="P10" t="s">
        <v>29</v>
      </c>
      <c r="Q10" t="s">
        <v>18</v>
      </c>
      <c r="R10">
        <v>1600</v>
      </c>
      <c r="S10">
        <v>0</v>
      </c>
      <c r="T10">
        <v>0</v>
      </c>
    </row>
    <row r="11" spans="1:22" x14ac:dyDescent="0.25">
      <c r="A11">
        <v>8</v>
      </c>
      <c r="B11" t="s">
        <v>3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K11">
        <f t="shared" si="0"/>
        <v>1600</v>
      </c>
      <c r="L11">
        <v>1</v>
      </c>
      <c r="M11" s="1">
        <f t="shared" si="1"/>
        <v>1600</v>
      </c>
      <c r="N11" s="2">
        <f t="shared" si="2"/>
        <v>7.2710399999999993</v>
      </c>
      <c r="O11" t="s">
        <v>27</v>
      </c>
      <c r="P11" t="s">
        <v>29</v>
      </c>
      <c r="Q11" t="s">
        <v>23</v>
      </c>
      <c r="R11">
        <v>0</v>
      </c>
      <c r="S11">
        <v>1600</v>
      </c>
      <c r="T11">
        <v>0</v>
      </c>
    </row>
    <row r="12" spans="1:22" x14ac:dyDescent="0.25">
      <c r="A12">
        <v>9</v>
      </c>
      <c r="B12" t="s">
        <v>3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K12">
        <f t="shared" si="0"/>
        <v>1600</v>
      </c>
      <c r="L12">
        <v>1</v>
      </c>
      <c r="M12" s="1">
        <f t="shared" si="1"/>
        <v>1600</v>
      </c>
      <c r="N12" s="2">
        <f t="shared" si="2"/>
        <v>7.2710399999999993</v>
      </c>
      <c r="O12" t="s">
        <v>27</v>
      </c>
      <c r="P12" t="s">
        <v>29</v>
      </c>
      <c r="Q12" t="s">
        <v>24</v>
      </c>
      <c r="R12">
        <v>0</v>
      </c>
      <c r="S12">
        <v>0</v>
      </c>
      <c r="T12">
        <v>1600</v>
      </c>
    </row>
    <row r="13" spans="1:22" x14ac:dyDescent="0.25">
      <c r="A13">
        <v>10</v>
      </c>
      <c r="B13" t="s">
        <v>3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K13">
        <f t="shared" si="0"/>
        <v>1600</v>
      </c>
      <c r="L13">
        <v>1</v>
      </c>
      <c r="M13" s="1">
        <f t="shared" si="1"/>
        <v>1600</v>
      </c>
      <c r="N13" s="2">
        <f t="shared" si="2"/>
        <v>7.2710399999999993</v>
      </c>
      <c r="O13" t="s">
        <v>27</v>
      </c>
      <c r="P13" t="s">
        <v>29</v>
      </c>
      <c r="Q13" t="s">
        <v>18</v>
      </c>
      <c r="R13">
        <v>1600</v>
      </c>
      <c r="S13">
        <v>0</v>
      </c>
      <c r="T13">
        <v>0</v>
      </c>
    </row>
    <row r="14" spans="1:22" x14ac:dyDescent="0.25">
      <c r="A14">
        <v>11</v>
      </c>
      <c r="B14" t="s">
        <v>35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K14">
        <f t="shared" si="0"/>
        <v>3500</v>
      </c>
      <c r="L14">
        <v>1</v>
      </c>
      <c r="M14" s="1">
        <f t="shared" si="1"/>
        <v>3500</v>
      </c>
      <c r="N14" s="2">
        <f t="shared" si="2"/>
        <v>15.905399999999998</v>
      </c>
      <c r="O14" t="s">
        <v>28</v>
      </c>
      <c r="P14" t="s">
        <v>44</v>
      </c>
      <c r="Q14" t="s">
        <v>18</v>
      </c>
      <c r="R14">
        <v>3500</v>
      </c>
      <c r="S14">
        <v>0</v>
      </c>
      <c r="T14">
        <v>0</v>
      </c>
    </row>
    <row r="15" spans="1:22" x14ac:dyDescent="0.25">
      <c r="A15">
        <v>12</v>
      </c>
      <c r="B15" t="s">
        <v>35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K15">
        <f t="shared" si="0"/>
        <v>3500</v>
      </c>
      <c r="L15">
        <v>1</v>
      </c>
      <c r="M15" s="1">
        <f t="shared" si="1"/>
        <v>3500</v>
      </c>
      <c r="N15" s="2">
        <f t="shared" si="2"/>
        <v>15.905399999999998</v>
      </c>
      <c r="O15" t="s">
        <v>28</v>
      </c>
      <c r="P15" t="s">
        <v>44</v>
      </c>
      <c r="Q15" t="s">
        <v>23</v>
      </c>
      <c r="R15">
        <v>0</v>
      </c>
      <c r="S15">
        <v>3500</v>
      </c>
      <c r="T15">
        <v>0</v>
      </c>
    </row>
    <row r="16" spans="1:22" x14ac:dyDescent="0.25">
      <c r="A16">
        <v>13</v>
      </c>
      <c r="B16" t="s">
        <v>35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K16">
        <f t="shared" si="0"/>
        <v>3500</v>
      </c>
      <c r="L16">
        <v>1</v>
      </c>
      <c r="M16" s="1">
        <f t="shared" si="1"/>
        <v>3500</v>
      </c>
      <c r="N16" s="2">
        <f t="shared" si="2"/>
        <v>15.905399999999998</v>
      </c>
      <c r="O16" t="s">
        <v>28</v>
      </c>
      <c r="P16" t="s">
        <v>44</v>
      </c>
      <c r="Q16" t="s">
        <v>24</v>
      </c>
      <c r="R16">
        <v>0</v>
      </c>
      <c r="S16">
        <v>0</v>
      </c>
      <c r="T16">
        <v>3500</v>
      </c>
    </row>
    <row r="17" spans="1:21" x14ac:dyDescent="0.25">
      <c r="A17">
        <v>14</v>
      </c>
      <c r="B17" t="s">
        <v>40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K17">
        <v>600</v>
      </c>
      <c r="L17">
        <v>1</v>
      </c>
      <c r="M17" s="1">
        <f t="shared" si="1"/>
        <v>600</v>
      </c>
      <c r="N17" s="2">
        <f t="shared" si="2"/>
        <v>2.7266399999999997</v>
      </c>
      <c r="O17" t="s">
        <v>26</v>
      </c>
      <c r="P17" t="s">
        <v>29</v>
      </c>
      <c r="Q17" t="s">
        <v>23</v>
      </c>
      <c r="R17">
        <v>0</v>
      </c>
      <c r="S17">
        <v>0</v>
      </c>
      <c r="T17">
        <f>M17</f>
        <v>600</v>
      </c>
    </row>
    <row r="18" spans="1:21" x14ac:dyDescent="0.25">
      <c r="A18">
        <v>15</v>
      </c>
      <c r="B18" t="s">
        <v>41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K18">
        <v>1000</v>
      </c>
      <c r="L18">
        <v>1</v>
      </c>
      <c r="M18" s="1">
        <f t="shared" si="1"/>
        <v>1000</v>
      </c>
      <c r="N18" s="2">
        <f t="shared" si="2"/>
        <v>4.5443999999999996</v>
      </c>
      <c r="O18" t="s">
        <v>26</v>
      </c>
      <c r="P18" t="s">
        <v>29</v>
      </c>
      <c r="Q18" t="s">
        <v>18</v>
      </c>
      <c r="R18">
        <f>M18</f>
        <v>1000</v>
      </c>
      <c r="S18">
        <v>0</v>
      </c>
      <c r="T18">
        <v>0</v>
      </c>
    </row>
    <row r="19" spans="1:21" x14ac:dyDescent="0.25">
      <c r="A19">
        <v>16</v>
      </c>
      <c r="B19" t="s">
        <v>42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K19">
        <v>1200</v>
      </c>
      <c r="L19">
        <v>1</v>
      </c>
      <c r="M19" s="1">
        <f t="shared" si="1"/>
        <v>1200</v>
      </c>
      <c r="N19" s="2">
        <f t="shared" si="2"/>
        <v>5.4532799999999995</v>
      </c>
      <c r="O19" t="s">
        <v>26</v>
      </c>
      <c r="P19" t="s">
        <v>29</v>
      </c>
      <c r="Q19" t="s">
        <v>23</v>
      </c>
      <c r="R19">
        <v>0</v>
      </c>
      <c r="S19">
        <f>M19</f>
        <v>1200</v>
      </c>
      <c r="T19">
        <v>0</v>
      </c>
    </row>
    <row r="20" spans="1:21" x14ac:dyDescent="0.25">
      <c r="A20">
        <v>17</v>
      </c>
      <c r="B20" t="s">
        <v>4</v>
      </c>
      <c r="M20" s="1"/>
      <c r="N20" s="2"/>
    </row>
    <row r="21" spans="1:21" x14ac:dyDescent="0.25">
      <c r="A21">
        <v>18</v>
      </c>
      <c r="B21" t="s">
        <v>4</v>
      </c>
      <c r="M21" s="1"/>
      <c r="N21" s="2"/>
    </row>
    <row r="22" spans="1:21" x14ac:dyDescent="0.25">
      <c r="A22">
        <v>19</v>
      </c>
      <c r="B22" t="s">
        <v>4</v>
      </c>
      <c r="M22" s="1"/>
      <c r="N22" s="2"/>
    </row>
    <row r="23" spans="1:21" x14ac:dyDescent="0.25">
      <c r="A23">
        <v>20</v>
      </c>
      <c r="B23" t="s">
        <v>4</v>
      </c>
      <c r="M23" s="1"/>
      <c r="N23" s="2"/>
    </row>
    <row r="24" spans="1:21" x14ac:dyDescent="0.25">
      <c r="M24" s="1"/>
      <c r="N24" s="2"/>
    </row>
    <row r="25" spans="1:21" x14ac:dyDescent="0.25">
      <c r="A25" s="6" t="s">
        <v>5</v>
      </c>
      <c r="B25" s="6"/>
      <c r="C25" s="1"/>
      <c r="D25" s="1"/>
      <c r="E25" s="1"/>
      <c r="F25" s="1"/>
      <c r="G25" s="1"/>
      <c r="H25" s="1"/>
      <c r="I25" s="1"/>
      <c r="J25" s="1"/>
      <c r="K25" s="1"/>
      <c r="L25" s="1"/>
      <c r="M25" s="1">
        <f>SUM(M4:M19)</f>
        <v>32288</v>
      </c>
      <c r="N25" s="2">
        <f>M25*0.0045444*0.45</f>
        <v>66.02831424</v>
      </c>
      <c r="O25" s="1"/>
      <c r="P25" s="1" t="s">
        <v>39</v>
      </c>
      <c r="Q25" s="1" t="s">
        <v>30</v>
      </c>
      <c r="R25" s="1">
        <f>SUM(R4:R19)</f>
        <v>10764</v>
      </c>
      <c r="S25" s="1">
        <f>SUM(S4:S19)</f>
        <v>11008</v>
      </c>
      <c r="T25" s="1">
        <f>SUM(T4:T19)</f>
        <v>10516</v>
      </c>
      <c r="U25" s="1"/>
    </row>
  </sheetData>
  <mergeCells count="6">
    <mergeCell ref="A1:V1"/>
    <mergeCell ref="A25:B25"/>
    <mergeCell ref="C2:E2"/>
    <mergeCell ref="F2:I2"/>
    <mergeCell ref="A2:A3"/>
    <mergeCell ref="B2:B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2019-11-06T12:18:52Z</dcterms:modified>
</cp:coreProperties>
</file>