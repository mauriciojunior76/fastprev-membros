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QUADRO DE CARGAS" sheetId="1" r:id="rId1"/>
  </sheets>
  <calcPr calcId="152511"/>
</workbook>
</file>

<file path=xl/calcChain.xml><?xml version="1.0" encoding="utf-8"?>
<calcChain xmlns="http://schemas.openxmlformats.org/spreadsheetml/2006/main">
  <c r="L44" i="1" l="1"/>
  <c r="M44" i="1"/>
  <c r="R15" i="1"/>
  <c r="S15" i="1"/>
  <c r="Q14" i="1"/>
  <c r="R14" i="1"/>
  <c r="S14" i="1"/>
  <c r="Q15" i="1"/>
  <c r="S13" i="1"/>
  <c r="R13" i="1"/>
  <c r="Q13" i="1"/>
  <c r="S28" i="1"/>
  <c r="S29" i="1"/>
  <c r="S30" i="1"/>
  <c r="R29" i="1"/>
  <c r="R30" i="1"/>
  <c r="S16" i="1"/>
  <c r="S17" i="1"/>
  <c r="S18" i="1"/>
  <c r="R16" i="1"/>
  <c r="Q16" i="1"/>
  <c r="Q17" i="1"/>
  <c r="Q18" i="1"/>
  <c r="R28" i="1"/>
  <c r="S27" i="1"/>
  <c r="R27" i="1"/>
  <c r="S26" i="1"/>
  <c r="R26" i="1"/>
  <c r="S12" i="1"/>
  <c r="Q12" i="1"/>
  <c r="S11" i="1"/>
  <c r="R11" i="1"/>
  <c r="R10" i="1"/>
  <c r="Q10" i="1"/>
  <c r="S9" i="1"/>
  <c r="Q9" i="1"/>
  <c r="S8" i="1"/>
  <c r="R8" i="1"/>
  <c r="R7" i="1"/>
  <c r="Q7" i="1"/>
  <c r="R32" i="1" l="1"/>
  <c r="S32" i="1"/>
  <c r="J12" i="1"/>
  <c r="L12" i="1" s="1"/>
  <c r="J38" i="1"/>
  <c r="L38" i="1" s="1"/>
  <c r="M38" i="1" s="1"/>
  <c r="J30" i="1"/>
  <c r="L30" i="1" s="1"/>
  <c r="J28" i="1"/>
  <c r="L28" i="1" s="1"/>
  <c r="J14" i="1"/>
  <c r="L14" i="1" s="1"/>
  <c r="J15" i="1"/>
  <c r="L15" i="1" s="1"/>
  <c r="M15" i="1" s="1"/>
  <c r="J16" i="1"/>
  <c r="L16" i="1" s="1"/>
  <c r="M16" i="1" s="1"/>
  <c r="J17" i="1"/>
  <c r="J18" i="1"/>
  <c r="J13" i="1"/>
  <c r="L13" i="1" s="1"/>
  <c r="J11" i="1"/>
  <c r="L11" i="1" s="1"/>
  <c r="J8" i="1"/>
  <c r="J9" i="1"/>
  <c r="L9" i="1" s="1"/>
  <c r="R9" i="1" s="1"/>
  <c r="J10" i="1"/>
  <c r="L10" i="1" s="1"/>
  <c r="S10" i="1" s="1"/>
  <c r="J7" i="1"/>
  <c r="J26" i="1"/>
  <c r="L26" i="1" s="1"/>
  <c r="Q26" i="1" s="1"/>
  <c r="J27" i="1"/>
  <c r="L27" i="1" s="1"/>
  <c r="J29" i="1"/>
  <c r="L29" i="1" s="1"/>
  <c r="Q29" i="1" s="1"/>
  <c r="J36" i="1"/>
  <c r="L36" i="1" s="1"/>
  <c r="J37" i="1"/>
  <c r="L37" i="1" s="1"/>
  <c r="J39" i="1"/>
  <c r="L39" i="1" s="1"/>
  <c r="M12" i="1" l="1"/>
  <c r="R12" i="1"/>
  <c r="M28" i="1"/>
  <c r="Q28" i="1"/>
  <c r="M30" i="1"/>
  <c r="Q30" i="1"/>
  <c r="L32" i="1"/>
  <c r="Q27" i="1"/>
  <c r="M11" i="1"/>
  <c r="Q11" i="1"/>
  <c r="L43" i="1"/>
  <c r="M39" i="1"/>
  <c r="M14" i="1"/>
  <c r="M13" i="1"/>
  <c r="M36" i="1"/>
  <c r="M10" i="1"/>
  <c r="M9" i="1"/>
  <c r="M27" i="1"/>
  <c r="M37" i="1"/>
  <c r="M29" i="1"/>
  <c r="M26" i="1"/>
  <c r="M32" i="1" l="1"/>
  <c r="Q32" i="1"/>
  <c r="L8" i="1"/>
  <c r="Q8" i="1" s="1"/>
  <c r="L17" i="1"/>
  <c r="R17" i="1" s="1"/>
  <c r="L18" i="1"/>
  <c r="Q23" i="1" l="1"/>
  <c r="Q33" i="1" s="1"/>
  <c r="R18" i="1"/>
  <c r="R23" i="1"/>
  <c r="R33" i="1" s="1"/>
  <c r="M18" i="1"/>
  <c r="L7" i="1"/>
  <c r="S7" i="1" s="1"/>
  <c r="S23" i="1" l="1"/>
  <c r="S33" i="1"/>
  <c r="L23" i="1"/>
  <c r="M8" i="1"/>
  <c r="M7" i="1"/>
  <c r="M17" i="1"/>
  <c r="M43" i="1"/>
  <c r="M23" i="1" l="1"/>
  <c r="L33" i="1"/>
  <c r="M33" i="1" s="1"/>
</calcChain>
</file>

<file path=xl/sharedStrings.xml><?xml version="1.0" encoding="utf-8"?>
<sst xmlns="http://schemas.openxmlformats.org/spreadsheetml/2006/main" count="225" uniqueCount="56">
  <si>
    <t>CIRCUITO</t>
  </si>
  <si>
    <t>DESCRIÇÃO</t>
  </si>
  <si>
    <t>RESERVA</t>
  </si>
  <si>
    <t>POTÊNCIA</t>
  </si>
  <si>
    <t>ATIVA(W)</t>
  </si>
  <si>
    <t>FATOR</t>
  </si>
  <si>
    <t>DE POTÊNCIA</t>
  </si>
  <si>
    <t>APARENTE</t>
  </si>
  <si>
    <t>CORRENTE</t>
  </si>
  <si>
    <t>DE PROJETO</t>
  </si>
  <si>
    <t>DISJUNTOR</t>
  </si>
  <si>
    <t>A</t>
  </si>
  <si>
    <t>FIO/CABO</t>
  </si>
  <si>
    <t>1F+N+ T #2.5</t>
  </si>
  <si>
    <t>COMPRESSOR</t>
  </si>
  <si>
    <t>-</t>
  </si>
  <si>
    <t>QUADRO DE DISTRIBUIÇÃO DE CARGAS</t>
  </si>
  <si>
    <t>ILUMINAÇÃO</t>
  </si>
  <si>
    <t xml:space="preserve">ILUMINAÇÃO </t>
  </si>
  <si>
    <t xml:space="preserve">ILUMINAÇÃO ADMINISTRAÇÃO </t>
  </si>
  <si>
    <t>ILUMINAÇÃO POSTO 1</t>
  </si>
  <si>
    <t>ILUMINAÇÃO POSTO 2</t>
  </si>
  <si>
    <t>ILUMINAÇÃO POSTO 3</t>
  </si>
  <si>
    <t>TUG ADM E WCS</t>
  </si>
  <si>
    <t>BOMBA 1</t>
  </si>
  <si>
    <t>BOMBA 2</t>
  </si>
  <si>
    <t>BOMBA 3</t>
  </si>
  <si>
    <t>BOMBA 4</t>
  </si>
  <si>
    <t>AR CONDICIONADO</t>
  </si>
  <si>
    <t>TOMADAS(TUG'S)</t>
  </si>
  <si>
    <t>TUE</t>
  </si>
  <si>
    <t>MM2</t>
  </si>
  <si>
    <t>TUG 1 - GARAGEM</t>
  </si>
  <si>
    <t>TUG 2 - GERENCIA E SUÍTE</t>
  </si>
  <si>
    <t>1F+N+ T # 4.0</t>
  </si>
  <si>
    <t xml:space="preserve">AR CONDICIONADO </t>
  </si>
  <si>
    <t>TUG COZINHA</t>
  </si>
  <si>
    <t>TUG 2 - COZINHA</t>
  </si>
  <si>
    <t xml:space="preserve">MEDIDOR 1: QUADRO DE DISTRIBUIÇÃO 1 (PARA 16 DISJUNTORES) -  POSTO E ADMINISTRAÇÃO </t>
  </si>
  <si>
    <t>MEDIDOR 1: QUADRO DE DISTRIBUIÇÃO 2 - GERÊNCIA</t>
  </si>
  <si>
    <t>MEDIDOR 2: QUADRO DE DISTRIBUIÇÃO 3 - CONVENIÊNCIA</t>
  </si>
  <si>
    <t>TUG 1 -CONVENIÊNCIA</t>
  </si>
  <si>
    <t>3F+N+ T #2.5</t>
  </si>
  <si>
    <t>FASES</t>
  </si>
  <si>
    <t>ABC</t>
  </si>
  <si>
    <t>B</t>
  </si>
  <si>
    <t>C</t>
  </si>
  <si>
    <t>A B C</t>
  </si>
  <si>
    <t>(W)</t>
  </si>
  <si>
    <t>3F+N+ T # 10.0</t>
  </si>
  <si>
    <t>POTENCIA TOTAL COM FATOR DE DEMANDA QD3 =</t>
  </si>
  <si>
    <t>POTENCIA TOTAL COM FATOR DE DEMANDA QD1 =</t>
  </si>
  <si>
    <t>POTENCIA TOTAL COM FATOR DE DEMANDA QD2 =</t>
  </si>
  <si>
    <t>POTENCIA TOTAL MEDIDOR 1(QD1+QD2) =</t>
  </si>
  <si>
    <t>POTENCIA TOTAL MEDIDOR 2(QD3) =</t>
  </si>
  <si>
    <t>3F+N+ T # 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</si>
</sst>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0" xfId="0" applyFont="1" applyBorder="1" applyAlignme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4" xfId="0" applyFont="1" applyBorder="1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0" fontId="1" fillId="0" borderId="8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7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8"/>
  <sheetViews>
    <sheetView tabSelected="1" zoomScale="55" zoomScaleNormal="55" workbookViewId="0">
      <selection activeCell="U39" sqref="U39"/>
    </sheetView>
  </sheetViews>
  <sheetFormatPr defaultRowHeight="15" x14ac:dyDescent="0.25"/>
  <cols>
    <col min="2" max="2" width="14.140625" customWidth="1"/>
    <col min="3" max="3" width="30.140625" customWidth="1"/>
    <col min="4" max="4" width="6.140625" customWidth="1"/>
    <col min="5" max="5" width="7.28515625" customWidth="1"/>
    <col min="6" max="6" width="6.7109375" customWidth="1"/>
    <col min="7" max="7" width="11.28515625" customWidth="1"/>
    <col min="8" max="8" width="12.140625" customWidth="1"/>
    <col min="9" max="9" width="16.28515625" customWidth="1"/>
    <col min="10" max="10" width="15.42578125" customWidth="1"/>
    <col min="11" max="11" width="17.28515625" bestFit="1" customWidth="1"/>
    <col min="12" max="12" width="14.85546875" customWidth="1"/>
    <col min="13" max="13" width="16.7109375" bestFit="1" customWidth="1"/>
    <col min="14" max="14" width="15" bestFit="1" customWidth="1"/>
    <col min="15" max="15" width="18.7109375" bestFit="1" customWidth="1"/>
    <col min="16" max="16" width="9.5703125" bestFit="1" customWidth="1"/>
    <col min="17" max="17" width="7.85546875" bestFit="1" customWidth="1"/>
    <col min="18" max="19" width="8.85546875" bestFit="1" customWidth="1"/>
  </cols>
  <sheetData>
    <row r="1" spans="2:19" ht="15.75" thickBot="1" x14ac:dyDescent="0.3"/>
    <row r="2" spans="2:19" ht="15.75" thickBot="1" x14ac:dyDescent="0.3">
      <c r="B2" s="67" t="s">
        <v>16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</row>
    <row r="3" spans="2:19" x14ac:dyDescent="0.25">
      <c r="B3" s="36" t="s">
        <v>0</v>
      </c>
      <c r="C3" s="37" t="s">
        <v>1</v>
      </c>
      <c r="D3" s="38" t="s">
        <v>17</v>
      </c>
      <c r="E3" s="38"/>
      <c r="F3" s="38"/>
      <c r="G3" s="38" t="s">
        <v>29</v>
      </c>
      <c r="H3" s="38"/>
      <c r="I3" s="39" t="s">
        <v>30</v>
      </c>
      <c r="J3" s="40" t="s">
        <v>3</v>
      </c>
      <c r="K3" s="40" t="s">
        <v>5</v>
      </c>
      <c r="L3" s="39" t="s">
        <v>3</v>
      </c>
      <c r="M3" s="40" t="s">
        <v>8</v>
      </c>
      <c r="N3" s="41" t="s">
        <v>10</v>
      </c>
      <c r="O3" s="46" t="s">
        <v>12</v>
      </c>
      <c r="P3" s="44" t="s">
        <v>43</v>
      </c>
      <c r="Q3" s="41" t="s">
        <v>11</v>
      </c>
      <c r="R3" s="41" t="s">
        <v>45</v>
      </c>
      <c r="S3" s="42" t="s">
        <v>46</v>
      </c>
    </row>
    <row r="4" spans="2:19" x14ac:dyDescent="0.25">
      <c r="B4" s="31"/>
      <c r="C4" s="32"/>
      <c r="D4" s="24">
        <v>20</v>
      </c>
      <c r="E4" s="24">
        <v>30</v>
      </c>
      <c r="F4" s="24">
        <v>100</v>
      </c>
      <c r="G4" s="25">
        <v>100</v>
      </c>
      <c r="H4" s="25">
        <v>600</v>
      </c>
      <c r="I4" s="26"/>
      <c r="J4" s="25" t="s">
        <v>4</v>
      </c>
      <c r="K4" s="26" t="s">
        <v>6</v>
      </c>
      <c r="L4" s="24" t="s">
        <v>7</v>
      </c>
      <c r="M4" s="25" t="s">
        <v>9</v>
      </c>
      <c r="N4" s="25" t="s">
        <v>11</v>
      </c>
      <c r="O4" s="27" t="s">
        <v>31</v>
      </c>
      <c r="P4" s="45" t="s">
        <v>44</v>
      </c>
      <c r="Q4" s="26" t="s">
        <v>47</v>
      </c>
      <c r="R4" s="26" t="s">
        <v>48</v>
      </c>
      <c r="S4" s="43" t="s">
        <v>48</v>
      </c>
    </row>
    <row r="5" spans="2:19" x14ac:dyDescent="0.25">
      <c r="B5" s="9"/>
      <c r="C5" s="2"/>
      <c r="D5" s="2"/>
      <c r="E5" s="2"/>
      <c r="F5" s="2"/>
      <c r="G5" s="3"/>
      <c r="H5" s="3"/>
      <c r="I5" s="1"/>
      <c r="J5" s="1"/>
      <c r="K5" s="1"/>
      <c r="L5" s="1"/>
      <c r="M5" s="1"/>
      <c r="N5" s="3"/>
      <c r="O5" s="10"/>
      <c r="P5" s="1"/>
      <c r="Q5" s="1"/>
      <c r="R5" s="1"/>
      <c r="S5" s="10"/>
    </row>
    <row r="6" spans="2:19" x14ac:dyDescent="0.25">
      <c r="B6" s="11" t="s">
        <v>38</v>
      </c>
      <c r="C6" s="8"/>
      <c r="D6" s="8"/>
      <c r="E6" s="8"/>
      <c r="F6" s="8"/>
      <c r="G6" s="8"/>
      <c r="H6" s="8"/>
      <c r="I6" s="8"/>
      <c r="J6" s="1"/>
      <c r="K6" s="1"/>
      <c r="L6" s="1"/>
      <c r="M6" s="1"/>
      <c r="N6" s="3"/>
      <c r="O6" s="10"/>
      <c r="P6" s="1"/>
      <c r="Q6" s="1"/>
      <c r="R6" s="1"/>
      <c r="S6" s="10"/>
    </row>
    <row r="7" spans="2:19" x14ac:dyDescent="0.25">
      <c r="B7" s="12">
        <v>1</v>
      </c>
      <c r="C7" s="4" t="s">
        <v>19</v>
      </c>
      <c r="D7" s="5">
        <v>5</v>
      </c>
      <c r="E7" s="5">
        <v>8</v>
      </c>
      <c r="F7" s="5">
        <v>0</v>
      </c>
      <c r="G7" s="5">
        <v>0</v>
      </c>
      <c r="H7" s="5">
        <v>0</v>
      </c>
      <c r="I7" s="5">
        <v>0</v>
      </c>
      <c r="J7" s="5">
        <f>+D7*$D$4+E7*$E$4+G7*$G$4+H7*$H$4+$F$4*F7</f>
        <v>340</v>
      </c>
      <c r="K7" s="5">
        <v>1</v>
      </c>
      <c r="L7" s="6">
        <f>K7*J7</f>
        <v>340</v>
      </c>
      <c r="M7" s="7">
        <f>(L7/220)*1.15</f>
        <v>1.7772727272727271</v>
      </c>
      <c r="N7" s="5">
        <v>10</v>
      </c>
      <c r="O7" s="13" t="s">
        <v>13</v>
      </c>
      <c r="P7" s="5" t="s">
        <v>46</v>
      </c>
      <c r="Q7" s="5">
        <f>IF(P7="A",L7,0)</f>
        <v>0</v>
      </c>
      <c r="R7" s="5">
        <f>IF(P7="B",L7,0)</f>
        <v>0</v>
      </c>
      <c r="S7" s="13">
        <f>IF(P7="C",L7,0)</f>
        <v>340</v>
      </c>
    </row>
    <row r="8" spans="2:19" x14ac:dyDescent="0.25">
      <c r="B8" s="12">
        <v>2</v>
      </c>
      <c r="C8" s="4" t="s">
        <v>20</v>
      </c>
      <c r="D8" s="5">
        <v>3</v>
      </c>
      <c r="E8" s="5">
        <v>10</v>
      </c>
      <c r="F8" s="5">
        <v>4</v>
      </c>
      <c r="G8" s="5">
        <v>0</v>
      </c>
      <c r="H8" s="5">
        <v>0</v>
      </c>
      <c r="I8" s="5">
        <v>0</v>
      </c>
      <c r="J8" s="5">
        <f t="shared" ref="J8:J10" si="0">+D8*$D$4+E8*$E$4+G8*$G$4+H8*$H$4+$F$4*F8</f>
        <v>760</v>
      </c>
      <c r="K8" s="5">
        <v>1</v>
      </c>
      <c r="L8" s="6">
        <f t="shared" ref="L8:L18" si="1">K8*J8</f>
        <v>760</v>
      </c>
      <c r="M8" s="7">
        <f t="shared" ref="M8:M18" si="2">(L8/220)*1.15</f>
        <v>3.9727272727272727</v>
      </c>
      <c r="N8" s="5">
        <v>10</v>
      </c>
      <c r="O8" s="13" t="s">
        <v>13</v>
      </c>
      <c r="P8" s="5" t="s">
        <v>11</v>
      </c>
      <c r="Q8" s="5">
        <f t="shared" ref="Q8:Q18" si="3">IF(P8="A",L8,0)</f>
        <v>760</v>
      </c>
      <c r="R8" s="5">
        <f t="shared" ref="R8:R18" si="4">IF(P8="B",L8,0)</f>
        <v>0</v>
      </c>
      <c r="S8" s="13">
        <f t="shared" ref="S8:S18" si="5">IF(P8="C",L8,0)</f>
        <v>0</v>
      </c>
    </row>
    <row r="9" spans="2:19" x14ac:dyDescent="0.25">
      <c r="B9" s="12">
        <v>3</v>
      </c>
      <c r="C9" s="4" t="s">
        <v>21</v>
      </c>
      <c r="D9" s="5">
        <v>3</v>
      </c>
      <c r="E9" s="5">
        <v>10</v>
      </c>
      <c r="F9" s="5">
        <v>4</v>
      </c>
      <c r="G9" s="5">
        <v>0</v>
      </c>
      <c r="H9" s="5">
        <v>0</v>
      </c>
      <c r="I9" s="5">
        <v>0</v>
      </c>
      <c r="J9" s="5">
        <f t="shared" si="0"/>
        <v>760</v>
      </c>
      <c r="K9" s="5">
        <v>1</v>
      </c>
      <c r="L9" s="6">
        <f t="shared" ref="L9:L10" si="6">K9*J9</f>
        <v>760</v>
      </c>
      <c r="M9" s="7">
        <f t="shared" ref="M9:M10" si="7">(L9/220)*1.15</f>
        <v>3.9727272727272727</v>
      </c>
      <c r="N9" s="5">
        <v>10</v>
      </c>
      <c r="O9" s="13" t="s">
        <v>13</v>
      </c>
      <c r="P9" s="5" t="s">
        <v>45</v>
      </c>
      <c r="Q9" s="5">
        <f t="shared" si="3"/>
        <v>0</v>
      </c>
      <c r="R9" s="5">
        <f t="shared" si="4"/>
        <v>760</v>
      </c>
      <c r="S9" s="13">
        <f t="shared" si="5"/>
        <v>0</v>
      </c>
    </row>
    <row r="10" spans="2:19" x14ac:dyDescent="0.25">
      <c r="B10" s="12">
        <v>4</v>
      </c>
      <c r="C10" s="4" t="s">
        <v>22</v>
      </c>
      <c r="D10" s="5">
        <v>3</v>
      </c>
      <c r="E10" s="5">
        <v>10</v>
      </c>
      <c r="F10" s="5">
        <v>4</v>
      </c>
      <c r="G10" s="5">
        <v>0</v>
      </c>
      <c r="H10" s="5">
        <v>0</v>
      </c>
      <c r="I10" s="5">
        <v>0</v>
      </c>
      <c r="J10" s="5">
        <f t="shared" si="0"/>
        <v>760</v>
      </c>
      <c r="K10" s="5">
        <v>1</v>
      </c>
      <c r="L10" s="6">
        <f t="shared" si="6"/>
        <v>760</v>
      </c>
      <c r="M10" s="7">
        <f t="shared" si="7"/>
        <v>3.9727272727272727</v>
      </c>
      <c r="N10" s="5">
        <v>10</v>
      </c>
      <c r="O10" s="13" t="s">
        <v>13</v>
      </c>
      <c r="P10" s="5" t="s">
        <v>46</v>
      </c>
      <c r="Q10" s="5">
        <f t="shared" si="3"/>
        <v>0</v>
      </c>
      <c r="R10" s="5">
        <f t="shared" si="4"/>
        <v>0</v>
      </c>
      <c r="S10" s="13">
        <f t="shared" si="5"/>
        <v>760</v>
      </c>
    </row>
    <row r="11" spans="2:19" x14ac:dyDescent="0.25">
      <c r="B11" s="12">
        <v>5</v>
      </c>
      <c r="C11" s="4" t="s">
        <v>23</v>
      </c>
      <c r="D11" s="5">
        <v>0</v>
      </c>
      <c r="E11" s="5">
        <v>0</v>
      </c>
      <c r="F11" s="5">
        <v>0</v>
      </c>
      <c r="G11" s="5">
        <v>7</v>
      </c>
      <c r="H11" s="5">
        <v>0</v>
      </c>
      <c r="I11" s="5">
        <v>0</v>
      </c>
      <c r="J11" s="5">
        <f>+D11*$D$4+E11*$E$4+G11*$G$4+H11*$H$4+$F$4*F11</f>
        <v>700</v>
      </c>
      <c r="K11" s="5">
        <v>1</v>
      </c>
      <c r="L11" s="6">
        <f t="shared" ref="L11:L16" si="8">K11*J11</f>
        <v>700</v>
      </c>
      <c r="M11" s="7">
        <f t="shared" ref="M11:M16" si="9">(L11/220)*1.15</f>
        <v>3.6590909090909087</v>
      </c>
      <c r="N11" s="5">
        <v>16</v>
      </c>
      <c r="O11" s="13" t="s">
        <v>13</v>
      </c>
      <c r="P11" s="5" t="s">
        <v>11</v>
      </c>
      <c r="Q11" s="5">
        <f t="shared" si="3"/>
        <v>700</v>
      </c>
      <c r="R11" s="5">
        <f t="shared" si="4"/>
        <v>0</v>
      </c>
      <c r="S11" s="13">
        <f t="shared" si="5"/>
        <v>0</v>
      </c>
    </row>
    <row r="12" spans="2:19" x14ac:dyDescent="0.25">
      <c r="B12" s="12">
        <v>6</v>
      </c>
      <c r="C12" s="4" t="s">
        <v>36</v>
      </c>
      <c r="D12" s="5">
        <v>0</v>
      </c>
      <c r="E12" s="5">
        <v>0</v>
      </c>
      <c r="F12" s="5">
        <v>0</v>
      </c>
      <c r="G12" s="5">
        <v>5</v>
      </c>
      <c r="H12" s="5">
        <v>1</v>
      </c>
      <c r="I12" s="5">
        <v>0</v>
      </c>
      <c r="J12" s="5">
        <f>+D12*$D$4+E12*$E$4+G12*$G$4+H12*$H$4+$F$4*F12</f>
        <v>1100</v>
      </c>
      <c r="K12" s="5">
        <v>1</v>
      </c>
      <c r="L12" s="6">
        <f t="shared" ref="L12" si="10">K12*J12</f>
        <v>1100</v>
      </c>
      <c r="M12" s="7">
        <f t="shared" ref="M12" si="11">(L12/220)*1.15</f>
        <v>5.75</v>
      </c>
      <c r="N12" s="5">
        <v>16</v>
      </c>
      <c r="O12" s="13" t="s">
        <v>13</v>
      </c>
      <c r="P12" s="5" t="s">
        <v>45</v>
      </c>
      <c r="Q12" s="5">
        <f t="shared" si="3"/>
        <v>0</v>
      </c>
      <c r="R12" s="5">
        <f t="shared" si="4"/>
        <v>1100</v>
      </c>
      <c r="S12" s="13">
        <f t="shared" si="5"/>
        <v>0</v>
      </c>
    </row>
    <row r="13" spans="2:19" x14ac:dyDescent="0.25">
      <c r="B13" s="12">
        <v>7</v>
      </c>
      <c r="C13" s="4" t="s">
        <v>24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1000</v>
      </c>
      <c r="J13" s="5">
        <f>+D13*$D$4+E13*$E$4+G13*$G$4+H13*$H$4+$F$4*F13+I13</f>
        <v>1060</v>
      </c>
      <c r="K13" s="5">
        <v>1</v>
      </c>
      <c r="L13" s="6">
        <f t="shared" si="8"/>
        <v>1060</v>
      </c>
      <c r="M13" s="7">
        <f t="shared" si="9"/>
        <v>5.540909090909091</v>
      </c>
      <c r="N13" s="5">
        <v>16</v>
      </c>
      <c r="O13" s="13" t="s">
        <v>42</v>
      </c>
      <c r="P13" s="5" t="s">
        <v>44</v>
      </c>
      <c r="Q13" s="56">
        <f>I13/3</f>
        <v>333.33333333333331</v>
      </c>
      <c r="R13" s="56">
        <f>I13/3</f>
        <v>333.33333333333331</v>
      </c>
      <c r="S13" s="57">
        <f>I13/3</f>
        <v>333.33333333333331</v>
      </c>
    </row>
    <row r="14" spans="2:19" x14ac:dyDescent="0.25">
      <c r="B14" s="12">
        <v>8</v>
      </c>
      <c r="C14" s="4" t="s">
        <v>25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1000</v>
      </c>
      <c r="J14" s="5">
        <f t="shared" ref="J14:J18" si="12">+D14*$D$4+E14*$E$4+G14*$G$4+H14*$H$4+$F$4*F14+I14</f>
        <v>1000</v>
      </c>
      <c r="K14" s="5">
        <v>1</v>
      </c>
      <c r="L14" s="6">
        <f t="shared" si="8"/>
        <v>1000</v>
      </c>
      <c r="M14" s="7">
        <f t="shared" si="9"/>
        <v>5.2272727272727275</v>
      </c>
      <c r="N14" s="5">
        <v>16</v>
      </c>
      <c r="O14" s="13" t="s">
        <v>42</v>
      </c>
      <c r="P14" s="5" t="s">
        <v>44</v>
      </c>
      <c r="Q14" s="56">
        <f>$I$14/3</f>
        <v>333.33333333333331</v>
      </c>
      <c r="R14" s="56">
        <f t="shared" ref="R14:S14" si="13">$I$14/3</f>
        <v>333.33333333333331</v>
      </c>
      <c r="S14" s="56">
        <f t="shared" si="13"/>
        <v>333.33333333333331</v>
      </c>
    </row>
    <row r="15" spans="2:19" x14ac:dyDescent="0.25">
      <c r="B15" s="12">
        <v>9</v>
      </c>
      <c r="C15" s="4" t="s">
        <v>26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1000</v>
      </c>
      <c r="J15" s="5">
        <f t="shared" si="12"/>
        <v>1000</v>
      </c>
      <c r="K15" s="5">
        <v>1</v>
      </c>
      <c r="L15" s="6">
        <f t="shared" si="8"/>
        <v>1000</v>
      </c>
      <c r="M15" s="7">
        <f t="shared" si="9"/>
        <v>5.2272727272727275</v>
      </c>
      <c r="N15" s="5">
        <v>16</v>
      </c>
      <c r="O15" s="13" t="s">
        <v>42</v>
      </c>
      <c r="P15" s="5" t="s">
        <v>44</v>
      </c>
      <c r="Q15" s="56">
        <f>$I$15/3</f>
        <v>333.33333333333331</v>
      </c>
      <c r="R15" s="56">
        <f t="shared" ref="R15:S15" si="14">$I$15/3</f>
        <v>333.33333333333331</v>
      </c>
      <c r="S15" s="56">
        <f t="shared" si="14"/>
        <v>333.33333333333331</v>
      </c>
    </row>
    <row r="16" spans="2:19" x14ac:dyDescent="0.25">
      <c r="B16" s="12">
        <v>10</v>
      </c>
      <c r="C16" s="4" t="s">
        <v>27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1000</v>
      </c>
      <c r="J16" s="5">
        <f t="shared" si="12"/>
        <v>1000</v>
      </c>
      <c r="K16" s="5">
        <v>1</v>
      </c>
      <c r="L16" s="6">
        <f t="shared" si="8"/>
        <v>1000</v>
      </c>
      <c r="M16" s="7">
        <f t="shared" si="9"/>
        <v>5.2272727272727275</v>
      </c>
      <c r="N16" s="5">
        <v>16</v>
      </c>
      <c r="O16" s="13" t="s">
        <v>42</v>
      </c>
      <c r="P16" s="5" t="s">
        <v>44</v>
      </c>
      <c r="Q16" s="5">
        <f t="shared" si="3"/>
        <v>0</v>
      </c>
      <c r="R16" s="5">
        <f t="shared" si="4"/>
        <v>0</v>
      </c>
      <c r="S16" s="13">
        <f t="shared" si="5"/>
        <v>0</v>
      </c>
    </row>
    <row r="17" spans="2:19" x14ac:dyDescent="0.25">
      <c r="B17" s="12">
        <v>11</v>
      </c>
      <c r="C17" s="4" t="s">
        <v>28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1600</v>
      </c>
      <c r="J17" s="5">
        <f t="shared" si="12"/>
        <v>1600</v>
      </c>
      <c r="K17" s="5">
        <v>1</v>
      </c>
      <c r="L17" s="6">
        <f t="shared" si="1"/>
        <v>1600</v>
      </c>
      <c r="M17" s="7">
        <f t="shared" si="2"/>
        <v>8.3636363636363633</v>
      </c>
      <c r="N17" s="5">
        <v>16</v>
      </c>
      <c r="O17" s="13" t="s">
        <v>13</v>
      </c>
      <c r="P17" s="35" t="s">
        <v>45</v>
      </c>
      <c r="Q17" s="5">
        <f t="shared" si="3"/>
        <v>0</v>
      </c>
      <c r="R17" s="5">
        <f t="shared" si="4"/>
        <v>1600</v>
      </c>
      <c r="S17" s="13">
        <f t="shared" si="5"/>
        <v>0</v>
      </c>
    </row>
    <row r="18" spans="2:19" x14ac:dyDescent="0.25">
      <c r="B18" s="12">
        <v>12</v>
      </c>
      <c r="C18" s="4" t="s">
        <v>14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250</v>
      </c>
      <c r="J18" s="5">
        <f t="shared" si="12"/>
        <v>250</v>
      </c>
      <c r="K18" s="5">
        <v>1</v>
      </c>
      <c r="L18" s="6">
        <f t="shared" si="1"/>
        <v>250</v>
      </c>
      <c r="M18" s="7">
        <f t="shared" si="2"/>
        <v>1.3068181818181819</v>
      </c>
      <c r="N18" s="5">
        <v>10</v>
      </c>
      <c r="O18" s="13" t="s">
        <v>13</v>
      </c>
      <c r="P18" s="35" t="s">
        <v>45</v>
      </c>
      <c r="Q18" s="5">
        <f t="shared" si="3"/>
        <v>0</v>
      </c>
      <c r="R18" s="5">
        <f t="shared" si="4"/>
        <v>250</v>
      </c>
      <c r="S18" s="13">
        <f t="shared" si="5"/>
        <v>0</v>
      </c>
    </row>
    <row r="19" spans="2:19" x14ac:dyDescent="0.25">
      <c r="B19" s="12">
        <v>13</v>
      </c>
      <c r="C19" s="4" t="s">
        <v>2</v>
      </c>
      <c r="D19" s="5" t="s">
        <v>15</v>
      </c>
      <c r="E19" s="5" t="s">
        <v>15</v>
      </c>
      <c r="F19" s="5" t="s">
        <v>15</v>
      </c>
      <c r="G19" s="5" t="s">
        <v>15</v>
      </c>
      <c r="H19" s="5" t="s">
        <v>15</v>
      </c>
      <c r="I19" s="5" t="s">
        <v>15</v>
      </c>
      <c r="J19" s="5" t="s">
        <v>15</v>
      </c>
      <c r="K19" s="5" t="s">
        <v>15</v>
      </c>
      <c r="L19" s="5" t="s">
        <v>15</v>
      </c>
      <c r="M19" s="5" t="s">
        <v>15</v>
      </c>
      <c r="N19" s="5" t="s">
        <v>15</v>
      </c>
      <c r="O19" s="13" t="s">
        <v>15</v>
      </c>
      <c r="P19" s="5" t="s">
        <v>15</v>
      </c>
      <c r="Q19" s="5" t="s">
        <v>15</v>
      </c>
      <c r="R19" s="5" t="s">
        <v>15</v>
      </c>
      <c r="S19" s="13" t="s">
        <v>15</v>
      </c>
    </row>
    <row r="20" spans="2:19" x14ac:dyDescent="0.25">
      <c r="B20" s="12">
        <v>14</v>
      </c>
      <c r="C20" s="4" t="s">
        <v>2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  <c r="I20" s="5" t="s">
        <v>15</v>
      </c>
      <c r="J20" s="5" t="s">
        <v>15</v>
      </c>
      <c r="K20" s="5" t="s">
        <v>15</v>
      </c>
      <c r="L20" s="5" t="s">
        <v>15</v>
      </c>
      <c r="M20" s="5" t="s">
        <v>15</v>
      </c>
      <c r="N20" s="5" t="s">
        <v>15</v>
      </c>
      <c r="O20" s="13" t="s">
        <v>15</v>
      </c>
      <c r="P20" s="5" t="s">
        <v>15</v>
      </c>
      <c r="Q20" s="5" t="s">
        <v>15</v>
      </c>
      <c r="R20" s="5" t="s">
        <v>15</v>
      </c>
      <c r="S20" s="13" t="s">
        <v>15</v>
      </c>
    </row>
    <row r="21" spans="2:19" x14ac:dyDescent="0.25">
      <c r="B21" s="12">
        <v>15</v>
      </c>
      <c r="C21" s="4" t="s">
        <v>2</v>
      </c>
      <c r="D21" s="5" t="s">
        <v>15</v>
      </c>
      <c r="E21" s="5" t="s">
        <v>15</v>
      </c>
      <c r="F21" s="5" t="s">
        <v>15</v>
      </c>
      <c r="G21" s="5" t="s">
        <v>15</v>
      </c>
      <c r="H21" s="5" t="s">
        <v>15</v>
      </c>
      <c r="I21" s="5" t="s">
        <v>15</v>
      </c>
      <c r="J21" s="5" t="s">
        <v>15</v>
      </c>
      <c r="K21" s="5" t="s">
        <v>15</v>
      </c>
      <c r="L21" s="5" t="s">
        <v>15</v>
      </c>
      <c r="M21" s="5" t="s">
        <v>15</v>
      </c>
      <c r="N21" s="5" t="s">
        <v>15</v>
      </c>
      <c r="O21" s="13" t="s">
        <v>15</v>
      </c>
      <c r="P21" s="5" t="s">
        <v>15</v>
      </c>
      <c r="Q21" s="5" t="s">
        <v>15</v>
      </c>
      <c r="R21" s="5" t="s">
        <v>15</v>
      </c>
      <c r="S21" s="13" t="s">
        <v>15</v>
      </c>
    </row>
    <row r="22" spans="2:19" ht="15.75" thickBot="1" x14ac:dyDescent="0.3">
      <c r="B22" s="12">
        <v>16</v>
      </c>
      <c r="C22" s="4" t="s">
        <v>2</v>
      </c>
      <c r="D22" s="5" t="s">
        <v>15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  <c r="L22" s="5" t="s">
        <v>15</v>
      </c>
      <c r="M22" s="5" t="s">
        <v>15</v>
      </c>
      <c r="N22" s="5" t="s">
        <v>15</v>
      </c>
      <c r="O22" s="13" t="s">
        <v>15</v>
      </c>
      <c r="P22" s="5" t="s">
        <v>15</v>
      </c>
      <c r="Q22" s="5" t="s">
        <v>15</v>
      </c>
      <c r="R22" s="5" t="s">
        <v>15</v>
      </c>
      <c r="S22" s="13" t="s">
        <v>15</v>
      </c>
    </row>
    <row r="23" spans="2:19" ht="15.75" thickBot="1" x14ac:dyDescent="0.3">
      <c r="B23" s="16"/>
      <c r="C23" s="17"/>
      <c r="D23" s="18"/>
      <c r="E23" s="18"/>
      <c r="F23" s="18"/>
      <c r="G23" s="18"/>
      <c r="H23" s="28" t="s">
        <v>51</v>
      </c>
      <c r="I23" s="28"/>
      <c r="J23" s="28"/>
      <c r="K23" s="28"/>
      <c r="L23" s="19">
        <f>(SUM(L7)*0.1)+(SUM(L8:L10)*1)+(SUM(L11:L12)*0.9)+(SUM(L13:L18)*0.7)</f>
        <v>8071</v>
      </c>
      <c r="M23" s="20">
        <f>L23/220</f>
        <v>36.686363636363637</v>
      </c>
      <c r="N23" s="22">
        <v>50</v>
      </c>
      <c r="O23" s="21" t="s">
        <v>49</v>
      </c>
      <c r="P23" s="23" t="s">
        <v>44</v>
      </c>
      <c r="Q23" s="23">
        <f>SUM(Q7:Q22)</f>
        <v>2460</v>
      </c>
      <c r="R23" s="23">
        <f t="shared" ref="R23:S23" si="15">SUM(R7:R22)</f>
        <v>4710</v>
      </c>
      <c r="S23" s="21">
        <f t="shared" si="15"/>
        <v>2100</v>
      </c>
    </row>
    <row r="24" spans="2:19" x14ac:dyDescent="0.25">
      <c r="B24" s="1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5"/>
      <c r="P24" s="5"/>
      <c r="Q24" s="5"/>
      <c r="R24" s="5"/>
      <c r="S24" s="13"/>
    </row>
    <row r="25" spans="2:19" x14ac:dyDescent="0.25">
      <c r="B25" s="33" t="s">
        <v>39</v>
      </c>
      <c r="C25" s="34"/>
      <c r="D25" s="34"/>
      <c r="E25" s="34"/>
      <c r="F25" s="34"/>
      <c r="G25" s="34"/>
      <c r="H25" s="34"/>
      <c r="I25" s="34"/>
      <c r="J25" s="4"/>
      <c r="K25" s="4"/>
      <c r="L25" s="4"/>
      <c r="M25" s="4"/>
      <c r="N25" s="4"/>
      <c r="O25" s="15"/>
      <c r="P25" s="4"/>
      <c r="Q25" s="4"/>
      <c r="R25" s="4"/>
      <c r="S25" s="15"/>
    </row>
    <row r="26" spans="2:19" x14ac:dyDescent="0.25">
      <c r="B26" s="12">
        <v>1</v>
      </c>
      <c r="C26" s="4" t="s">
        <v>18</v>
      </c>
      <c r="D26" s="5">
        <v>3</v>
      </c>
      <c r="E26" s="5">
        <v>6</v>
      </c>
      <c r="F26" s="5">
        <v>0</v>
      </c>
      <c r="G26" s="5">
        <v>0</v>
      </c>
      <c r="H26" s="5">
        <v>0</v>
      </c>
      <c r="I26" s="5">
        <v>0</v>
      </c>
      <c r="J26" s="5">
        <f t="shared" ref="J26" si="16">+D26*$D$4+E26*$E$4+G26*$G$4+H26*$H$4</f>
        <v>240</v>
      </c>
      <c r="K26" s="5">
        <v>1</v>
      </c>
      <c r="L26" s="6">
        <f t="shared" ref="L26:L29" si="17">K26*J26</f>
        <v>240</v>
      </c>
      <c r="M26" s="7">
        <f t="shared" ref="M26" si="18">(L26/220)*1.15</f>
        <v>1.2545454545454544</v>
      </c>
      <c r="N26" s="5">
        <v>10</v>
      </c>
      <c r="O26" s="13" t="s">
        <v>13</v>
      </c>
      <c r="P26" s="5" t="s">
        <v>11</v>
      </c>
      <c r="Q26" s="5">
        <f t="shared" ref="Q26" si="19">IF(P26="A",L26,0)</f>
        <v>240</v>
      </c>
      <c r="R26" s="5">
        <f t="shared" ref="R26" si="20">IF(P26="B",L26,0)</f>
        <v>0</v>
      </c>
      <c r="S26" s="13">
        <f t="shared" ref="S26" si="21">IF(P26="C",L26,0)</f>
        <v>0</v>
      </c>
    </row>
    <row r="27" spans="2:19" x14ac:dyDescent="0.25">
      <c r="B27" s="12">
        <v>2</v>
      </c>
      <c r="C27" s="4" t="s">
        <v>32</v>
      </c>
      <c r="D27" s="5">
        <v>0</v>
      </c>
      <c r="E27" s="5">
        <v>0</v>
      </c>
      <c r="F27" s="5">
        <v>0</v>
      </c>
      <c r="G27" s="5">
        <v>6</v>
      </c>
      <c r="H27" s="5">
        <v>0</v>
      </c>
      <c r="I27" s="5">
        <v>0</v>
      </c>
      <c r="J27" s="5">
        <f>+D27*$D$4+E27*$E$4+G27*$G$4+H27*$H$4</f>
        <v>600</v>
      </c>
      <c r="K27" s="5">
        <v>1</v>
      </c>
      <c r="L27" s="6">
        <f t="shared" si="17"/>
        <v>600</v>
      </c>
      <c r="M27" s="7">
        <f>(L27/220)*1.15</f>
        <v>3.1363636363636358</v>
      </c>
      <c r="N27" s="5">
        <v>16</v>
      </c>
      <c r="O27" s="13" t="s">
        <v>13</v>
      </c>
      <c r="P27" s="5" t="s">
        <v>11</v>
      </c>
      <c r="Q27" s="5">
        <f>IF(P27="A",L27,0)</f>
        <v>600</v>
      </c>
      <c r="R27" s="5">
        <f>IF(P27="B",L27,0)</f>
        <v>0</v>
      </c>
      <c r="S27" s="13">
        <f>IF(P27="C",L27,0)</f>
        <v>0</v>
      </c>
    </row>
    <row r="28" spans="2:19" x14ac:dyDescent="0.25">
      <c r="B28" s="12">
        <v>3</v>
      </c>
      <c r="C28" s="4" t="s">
        <v>33</v>
      </c>
      <c r="D28" s="5">
        <v>0</v>
      </c>
      <c r="E28" s="5">
        <v>0</v>
      </c>
      <c r="F28" s="5">
        <v>0</v>
      </c>
      <c r="G28" s="5">
        <v>12</v>
      </c>
      <c r="H28" s="5">
        <v>0</v>
      </c>
      <c r="I28" s="5">
        <v>0</v>
      </c>
      <c r="J28" s="5">
        <f>+D28*$D$4+E28*$E$4+G28*$G$4+H28*$H$4</f>
        <v>1200</v>
      </c>
      <c r="K28" s="5">
        <v>1</v>
      </c>
      <c r="L28" s="6">
        <f t="shared" ref="L28" si="22">K28*J28</f>
        <v>1200</v>
      </c>
      <c r="M28" s="7">
        <f>(L28/220)*1.15</f>
        <v>6.2727272727272716</v>
      </c>
      <c r="N28" s="5">
        <v>16</v>
      </c>
      <c r="O28" s="13" t="s">
        <v>13</v>
      </c>
      <c r="P28" s="5" t="s">
        <v>11</v>
      </c>
      <c r="Q28" s="5">
        <f>IF(P28="A",L28,0)</f>
        <v>1200</v>
      </c>
      <c r="R28" s="5">
        <f>IF(P28="B",L28,0)</f>
        <v>0</v>
      </c>
      <c r="S28" s="13">
        <f t="shared" ref="S28:S30" si="23">IF(P28="C",L28,0)</f>
        <v>0</v>
      </c>
    </row>
    <row r="29" spans="2:19" x14ac:dyDescent="0.25">
      <c r="B29" s="12">
        <v>4</v>
      </c>
      <c r="C29" s="4" t="s">
        <v>35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1600</v>
      </c>
      <c r="J29" s="5">
        <f>I29</f>
        <v>1600</v>
      </c>
      <c r="K29" s="5">
        <v>1</v>
      </c>
      <c r="L29" s="6">
        <f t="shared" si="17"/>
        <v>1600</v>
      </c>
      <c r="M29" s="7">
        <f>(L29/220)*1.15</f>
        <v>8.3636363636363633</v>
      </c>
      <c r="N29" s="5">
        <v>16</v>
      </c>
      <c r="O29" s="13" t="s">
        <v>13</v>
      </c>
      <c r="P29" s="5" t="s">
        <v>11</v>
      </c>
      <c r="Q29" s="5">
        <f t="shared" ref="Q29:Q30" si="24">IF(P29="A",L29,0)</f>
        <v>1600</v>
      </c>
      <c r="R29" s="5">
        <f t="shared" ref="R29:R30" si="25">IF(P29="B",L29,0)</f>
        <v>0</v>
      </c>
      <c r="S29" s="13">
        <f t="shared" si="23"/>
        <v>0</v>
      </c>
    </row>
    <row r="30" spans="2:19" x14ac:dyDescent="0.25">
      <c r="B30" s="12">
        <v>4</v>
      </c>
      <c r="C30" s="4" t="s">
        <v>28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1600</v>
      </c>
      <c r="J30" s="5">
        <f>I30</f>
        <v>1600</v>
      </c>
      <c r="K30" s="5">
        <v>1</v>
      </c>
      <c r="L30" s="6">
        <f t="shared" ref="L30" si="26">K30*J30</f>
        <v>1600</v>
      </c>
      <c r="M30" s="7">
        <f>(L30/220)*1.15</f>
        <v>8.3636363636363633</v>
      </c>
      <c r="N30" s="5">
        <v>16</v>
      </c>
      <c r="O30" s="13" t="s">
        <v>13</v>
      </c>
      <c r="P30" s="5" t="s">
        <v>11</v>
      </c>
      <c r="Q30" s="5">
        <f t="shared" si="24"/>
        <v>1600</v>
      </c>
      <c r="R30" s="5">
        <f t="shared" si="25"/>
        <v>0</v>
      </c>
      <c r="S30" s="13">
        <f t="shared" si="23"/>
        <v>0</v>
      </c>
    </row>
    <row r="31" spans="2:19" ht="15.75" thickBot="1" x14ac:dyDescent="0.3">
      <c r="B31" s="12">
        <v>6</v>
      </c>
      <c r="C31" s="4" t="s">
        <v>2</v>
      </c>
      <c r="D31" s="5" t="s">
        <v>15</v>
      </c>
      <c r="E31" s="5" t="s">
        <v>15</v>
      </c>
      <c r="F31" s="5" t="s">
        <v>15</v>
      </c>
      <c r="G31" s="5" t="s">
        <v>15</v>
      </c>
      <c r="H31" s="5" t="s">
        <v>15</v>
      </c>
      <c r="I31" s="5" t="s">
        <v>15</v>
      </c>
      <c r="J31" s="5" t="s">
        <v>15</v>
      </c>
      <c r="K31" s="5" t="s">
        <v>15</v>
      </c>
      <c r="L31" s="5" t="s">
        <v>15</v>
      </c>
      <c r="M31" s="5" t="s">
        <v>15</v>
      </c>
      <c r="N31" s="5" t="s">
        <v>15</v>
      </c>
      <c r="O31" s="13" t="s">
        <v>15</v>
      </c>
      <c r="P31" s="5" t="s">
        <v>15</v>
      </c>
      <c r="Q31" s="5" t="s">
        <v>15</v>
      </c>
      <c r="R31" s="5" t="s">
        <v>15</v>
      </c>
      <c r="S31" s="13" t="s">
        <v>15</v>
      </c>
    </row>
    <row r="32" spans="2:19" ht="15.75" thickBot="1" x14ac:dyDescent="0.3">
      <c r="B32" s="16"/>
      <c r="C32" s="17"/>
      <c r="D32" s="18"/>
      <c r="E32" s="18"/>
      <c r="F32" s="18"/>
      <c r="G32" s="18"/>
      <c r="H32" s="28" t="s">
        <v>52</v>
      </c>
      <c r="I32" s="28"/>
      <c r="J32" s="28"/>
      <c r="K32" s="28"/>
      <c r="L32" s="19">
        <f>(SUM(L26)*0.1)+(SUM(L27:L28)*0.8)+(SUM(L29:L30)*0.9)</f>
        <v>4344</v>
      </c>
      <c r="M32" s="20">
        <f>L32/220</f>
        <v>19.745454545454546</v>
      </c>
      <c r="N32" s="22">
        <v>25</v>
      </c>
      <c r="O32" s="21" t="s">
        <v>34</v>
      </c>
      <c r="P32" s="23" t="s">
        <v>44</v>
      </c>
      <c r="Q32" s="23">
        <f>SUM(Q26:Q31)</f>
        <v>5240</v>
      </c>
      <c r="R32" s="23">
        <f>SUM(R26:R31)</f>
        <v>0</v>
      </c>
      <c r="S32" s="21">
        <f>SUM(S26:S31)</f>
        <v>0</v>
      </c>
    </row>
    <row r="33" spans="2:19" ht="15.75" thickBot="1" x14ac:dyDescent="0.3">
      <c r="B33" s="58"/>
      <c r="C33" s="59"/>
      <c r="D33" s="60"/>
      <c r="E33" s="60"/>
      <c r="F33" s="60"/>
      <c r="G33" s="60"/>
      <c r="H33" s="61" t="s">
        <v>53</v>
      </c>
      <c r="I33" s="61"/>
      <c r="J33" s="61"/>
      <c r="K33" s="61"/>
      <c r="L33" s="62">
        <f>(SUM(L32,L23))</f>
        <v>12415</v>
      </c>
      <c r="M33" s="63">
        <f>L33/220</f>
        <v>56.43181818181818</v>
      </c>
      <c r="N33" s="64">
        <v>60</v>
      </c>
      <c r="O33" s="65" t="s">
        <v>55</v>
      </c>
      <c r="P33" s="66" t="s">
        <v>44</v>
      </c>
      <c r="Q33" s="66">
        <f>SUM(Q7:Q32)</f>
        <v>15400</v>
      </c>
      <c r="R33" s="66">
        <f t="shared" ref="R33:S33" si="27">SUM(R7:R32)</f>
        <v>9420</v>
      </c>
      <c r="S33" s="65">
        <f t="shared" si="27"/>
        <v>4200</v>
      </c>
    </row>
    <row r="34" spans="2:19" x14ac:dyDescent="0.25">
      <c r="B34" s="12"/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3"/>
      <c r="P34" s="48"/>
      <c r="Q34" s="49"/>
      <c r="R34" s="49"/>
      <c r="S34" s="50"/>
    </row>
    <row r="35" spans="2:19" x14ac:dyDescent="0.25">
      <c r="B35" s="33" t="s">
        <v>40</v>
      </c>
      <c r="C35" s="34"/>
      <c r="D35" s="34"/>
      <c r="E35" s="34"/>
      <c r="F35" s="34"/>
      <c r="G35" s="34"/>
      <c r="H35" s="34"/>
      <c r="I35" s="34"/>
      <c r="J35" s="4"/>
      <c r="K35" s="4"/>
      <c r="L35" s="4"/>
      <c r="M35" s="4"/>
      <c r="N35" s="4"/>
      <c r="O35" s="15"/>
      <c r="P35" s="51"/>
      <c r="Q35" s="47"/>
      <c r="R35" s="47"/>
      <c r="S35" s="52"/>
    </row>
    <row r="36" spans="2:19" x14ac:dyDescent="0.25">
      <c r="B36" s="12">
        <v>1</v>
      </c>
      <c r="C36" s="4" t="s">
        <v>17</v>
      </c>
      <c r="D36" s="5">
        <v>1</v>
      </c>
      <c r="E36" s="5">
        <v>2</v>
      </c>
      <c r="F36" s="5">
        <v>0</v>
      </c>
      <c r="G36" s="5">
        <v>0</v>
      </c>
      <c r="H36" s="5">
        <v>0</v>
      </c>
      <c r="I36" s="5">
        <v>0</v>
      </c>
      <c r="J36" s="5">
        <f t="shared" ref="J36" si="28">+D36*$D$4+E36*$E$4+G36*$G$4+H36*$H$4</f>
        <v>80</v>
      </c>
      <c r="K36" s="5">
        <v>1</v>
      </c>
      <c r="L36" s="6">
        <f t="shared" ref="L36:L39" si="29">K36*J36</f>
        <v>80</v>
      </c>
      <c r="M36" s="7">
        <f t="shared" ref="M36" si="30">(L36/220)*1.15</f>
        <v>0.41818181818181815</v>
      </c>
      <c r="N36" s="5">
        <v>10</v>
      </c>
      <c r="O36" s="13" t="s">
        <v>13</v>
      </c>
      <c r="P36" s="51"/>
      <c r="Q36" s="47"/>
      <c r="R36" s="47"/>
      <c r="S36" s="52"/>
    </row>
    <row r="37" spans="2:19" x14ac:dyDescent="0.25">
      <c r="B37" s="12">
        <v>2</v>
      </c>
      <c r="C37" s="4" t="s">
        <v>41</v>
      </c>
      <c r="D37" s="5">
        <v>0</v>
      </c>
      <c r="E37" s="5">
        <v>0</v>
      </c>
      <c r="F37" s="5">
        <v>0</v>
      </c>
      <c r="G37" s="5">
        <v>8</v>
      </c>
      <c r="H37" s="5">
        <v>0</v>
      </c>
      <c r="I37" s="5">
        <v>0</v>
      </c>
      <c r="J37" s="5">
        <f>+D37*$D$4+E37*$E$4+G37*$G$4+H37*$H$4</f>
        <v>800</v>
      </c>
      <c r="K37" s="5">
        <v>1</v>
      </c>
      <c r="L37" s="6">
        <f t="shared" si="29"/>
        <v>800</v>
      </c>
      <c r="M37" s="7">
        <f>(L37/220)*1.15</f>
        <v>4.1818181818181817</v>
      </c>
      <c r="N37" s="5">
        <v>16</v>
      </c>
      <c r="O37" s="13" t="s">
        <v>13</v>
      </c>
      <c r="P37" s="51"/>
      <c r="Q37" s="47"/>
      <c r="R37" s="47"/>
      <c r="S37" s="52"/>
    </row>
    <row r="38" spans="2:19" x14ac:dyDescent="0.25">
      <c r="B38" s="12">
        <v>2</v>
      </c>
      <c r="C38" s="4" t="s">
        <v>37</v>
      </c>
      <c r="D38" s="5">
        <v>0</v>
      </c>
      <c r="E38" s="5">
        <v>0</v>
      </c>
      <c r="F38" s="5">
        <v>0</v>
      </c>
      <c r="G38" s="5">
        <v>5</v>
      </c>
      <c r="H38" s="5">
        <v>1</v>
      </c>
      <c r="I38" s="5">
        <v>0</v>
      </c>
      <c r="J38" s="5">
        <f>+D38*$D$4+E38*$E$4+G38*$G$4+H38*$H$4</f>
        <v>1100</v>
      </c>
      <c r="K38" s="5">
        <v>1</v>
      </c>
      <c r="L38" s="6">
        <f t="shared" ref="L38" si="31">K38*J38</f>
        <v>1100</v>
      </c>
      <c r="M38" s="7">
        <f>(L38/220)*1.15</f>
        <v>5.75</v>
      </c>
      <c r="N38" s="5">
        <v>16</v>
      </c>
      <c r="O38" s="13" t="s">
        <v>13</v>
      </c>
      <c r="P38" s="51"/>
      <c r="Q38" s="47"/>
      <c r="R38" s="47"/>
      <c r="S38" s="52"/>
    </row>
    <row r="39" spans="2:19" x14ac:dyDescent="0.25">
      <c r="B39" s="12">
        <v>3</v>
      </c>
      <c r="C39" s="4" t="s">
        <v>28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1600</v>
      </c>
      <c r="J39" s="5">
        <f>I39</f>
        <v>1600</v>
      </c>
      <c r="K39" s="5">
        <v>1</v>
      </c>
      <c r="L39" s="6">
        <f t="shared" si="29"/>
        <v>1600</v>
      </c>
      <c r="M39" s="7">
        <f>(L39/220)*1.15</f>
        <v>8.3636363636363633</v>
      </c>
      <c r="N39" s="5">
        <v>16</v>
      </c>
      <c r="O39" s="13" t="s">
        <v>13</v>
      </c>
      <c r="P39" s="51"/>
      <c r="Q39" s="47"/>
      <c r="R39" s="47"/>
      <c r="S39" s="52"/>
    </row>
    <row r="40" spans="2:19" x14ac:dyDescent="0.25">
      <c r="B40" s="12">
        <v>4</v>
      </c>
      <c r="C40" s="4" t="s">
        <v>2</v>
      </c>
      <c r="D40" s="5" t="s">
        <v>15</v>
      </c>
      <c r="E40" s="5" t="s">
        <v>15</v>
      </c>
      <c r="F40" s="5" t="s">
        <v>15</v>
      </c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15</v>
      </c>
      <c r="M40" s="5" t="s">
        <v>15</v>
      </c>
      <c r="N40" s="5" t="s">
        <v>15</v>
      </c>
      <c r="O40" s="13" t="s">
        <v>15</v>
      </c>
      <c r="P40" s="51"/>
      <c r="Q40" s="47"/>
      <c r="R40" s="47"/>
      <c r="S40" s="52"/>
    </row>
    <row r="41" spans="2:19" x14ac:dyDescent="0.25">
      <c r="B41" s="12">
        <v>5</v>
      </c>
      <c r="C41" s="4" t="s">
        <v>2</v>
      </c>
      <c r="D41" s="5" t="s">
        <v>15</v>
      </c>
      <c r="E41" s="5" t="s">
        <v>15</v>
      </c>
      <c r="F41" s="5" t="s">
        <v>15</v>
      </c>
      <c r="G41" s="5" t="s">
        <v>15</v>
      </c>
      <c r="H41" s="5" t="s">
        <v>15</v>
      </c>
      <c r="I41" s="5" t="s">
        <v>15</v>
      </c>
      <c r="J41" s="5" t="s">
        <v>15</v>
      </c>
      <c r="K41" s="5" t="s">
        <v>15</v>
      </c>
      <c r="L41" s="5" t="s">
        <v>15</v>
      </c>
      <c r="M41" s="5" t="s">
        <v>15</v>
      </c>
      <c r="N41" s="5" t="s">
        <v>15</v>
      </c>
      <c r="O41" s="13" t="s">
        <v>15</v>
      </c>
      <c r="P41" s="51"/>
      <c r="Q41" s="47"/>
      <c r="R41" s="47"/>
      <c r="S41" s="52"/>
    </row>
    <row r="42" spans="2:19" ht="15.75" thickBot="1" x14ac:dyDescent="0.3">
      <c r="B42" s="12">
        <v>6</v>
      </c>
      <c r="C42" s="4" t="s">
        <v>2</v>
      </c>
      <c r="D42" s="5" t="s">
        <v>15</v>
      </c>
      <c r="E42" s="5" t="s">
        <v>15</v>
      </c>
      <c r="F42" s="5" t="s">
        <v>15</v>
      </c>
      <c r="G42" s="5" t="s">
        <v>15</v>
      </c>
      <c r="H42" s="5" t="s">
        <v>15</v>
      </c>
      <c r="I42" s="5" t="s">
        <v>15</v>
      </c>
      <c r="J42" s="5" t="s">
        <v>15</v>
      </c>
      <c r="K42" s="5" t="s">
        <v>15</v>
      </c>
      <c r="L42" s="5" t="s">
        <v>15</v>
      </c>
      <c r="M42" s="5" t="s">
        <v>15</v>
      </c>
      <c r="N42" s="5" t="s">
        <v>15</v>
      </c>
      <c r="O42" s="13" t="s">
        <v>15</v>
      </c>
      <c r="P42" s="51"/>
      <c r="Q42" s="47"/>
      <c r="R42" s="47"/>
      <c r="S42" s="52"/>
    </row>
    <row r="43" spans="2:19" ht="15.75" thickBot="1" x14ac:dyDescent="0.3">
      <c r="B43" s="29"/>
      <c r="C43" s="30"/>
      <c r="D43" s="23"/>
      <c r="E43" s="23"/>
      <c r="F43" s="23"/>
      <c r="G43" s="23"/>
      <c r="H43" s="28" t="s">
        <v>50</v>
      </c>
      <c r="I43" s="28"/>
      <c r="J43" s="28"/>
      <c r="K43" s="28"/>
      <c r="L43" s="19">
        <f>(SUM(L36)*0.1)+(SUM(L37)*0.8)+(SUM(L39)*1)</f>
        <v>2248</v>
      </c>
      <c r="M43" s="20">
        <f>L43/220</f>
        <v>10.218181818181819</v>
      </c>
      <c r="N43" s="22">
        <v>20</v>
      </c>
      <c r="O43" s="21" t="s">
        <v>34</v>
      </c>
      <c r="P43" s="51"/>
      <c r="Q43" s="47"/>
      <c r="R43" s="47"/>
      <c r="S43" s="52"/>
    </row>
    <row r="44" spans="2:19" ht="15.75" thickBot="1" x14ac:dyDescent="0.3">
      <c r="B44" s="67"/>
      <c r="C44" s="68"/>
      <c r="D44" s="66"/>
      <c r="E44" s="66"/>
      <c r="F44" s="66"/>
      <c r="G44" s="66"/>
      <c r="H44" s="61" t="s">
        <v>54</v>
      </c>
      <c r="I44" s="61"/>
      <c r="J44" s="61"/>
      <c r="K44" s="61"/>
      <c r="L44" s="62">
        <f>L43</f>
        <v>2248</v>
      </c>
      <c r="M44" s="63">
        <f>L44/220</f>
        <v>10.218181818181819</v>
      </c>
      <c r="N44" s="64">
        <v>20</v>
      </c>
      <c r="O44" s="65" t="s">
        <v>34</v>
      </c>
      <c r="P44" s="53"/>
      <c r="Q44" s="54"/>
      <c r="R44" s="54"/>
      <c r="S44" s="55"/>
    </row>
    <row r="45" spans="2:19" x14ac:dyDescent="0.25">
      <c r="P45" s="5"/>
      <c r="Q45" s="5"/>
      <c r="R45" s="5"/>
    </row>
    <row r="46" spans="2:19" x14ac:dyDescent="0.25">
      <c r="P46" s="5"/>
      <c r="Q46" s="5"/>
      <c r="R46" s="5"/>
    </row>
    <row r="47" spans="2:19" x14ac:dyDescent="0.25">
      <c r="P47" s="4"/>
      <c r="Q47" s="4"/>
      <c r="R47" s="4"/>
    </row>
    <row r="48" spans="2:19" x14ac:dyDescent="0.25">
      <c r="R48" s="4"/>
    </row>
  </sheetData>
  <mergeCells count="15">
    <mergeCell ref="B44:C44"/>
    <mergeCell ref="H44:K44"/>
    <mergeCell ref="P34:S44"/>
    <mergeCell ref="H43:K43"/>
    <mergeCell ref="B43:C43"/>
    <mergeCell ref="B3:B4"/>
    <mergeCell ref="C3:C4"/>
    <mergeCell ref="B25:I25"/>
    <mergeCell ref="B35:I35"/>
    <mergeCell ref="G3:H3"/>
    <mergeCell ref="D3:F3"/>
    <mergeCell ref="H23:K23"/>
    <mergeCell ref="H32:K32"/>
    <mergeCell ref="B2:S2"/>
    <mergeCell ref="H33:K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DE CARGAS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2020-04-01T22:56:59Z</dcterms:modified>
</cp:coreProperties>
</file>