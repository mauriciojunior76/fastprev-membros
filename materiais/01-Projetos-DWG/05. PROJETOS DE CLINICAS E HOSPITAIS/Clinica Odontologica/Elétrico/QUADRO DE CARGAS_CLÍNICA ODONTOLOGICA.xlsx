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QUADRO DE CARGAS" sheetId="1" r:id="rId1"/>
  </sheets>
  <calcPr calcId="152511"/>
</workbook>
</file>

<file path=xl/calcChain.xml><?xml version="1.0" encoding="utf-8"?>
<calcChain xmlns="http://schemas.openxmlformats.org/spreadsheetml/2006/main">
  <c r="K48" i="1" l="1"/>
  <c r="K35" i="1" l="1"/>
  <c r="K36" i="1"/>
  <c r="K38" i="1"/>
  <c r="K39" i="1"/>
  <c r="K40" i="1"/>
  <c r="K41" i="1"/>
  <c r="K42" i="1"/>
  <c r="K34" i="1"/>
  <c r="K27" i="1"/>
  <c r="K28" i="1"/>
  <c r="K26" i="1"/>
  <c r="K20" i="1"/>
  <c r="K21" i="1"/>
  <c r="K19" i="1"/>
  <c r="K8" i="1"/>
  <c r="K9" i="1"/>
  <c r="K10" i="1"/>
  <c r="K11" i="1"/>
  <c r="K12" i="1"/>
  <c r="K13" i="1"/>
  <c r="Q34" i="1" l="1"/>
  <c r="P34" i="1"/>
  <c r="I34" i="1"/>
  <c r="Q26" i="1"/>
  <c r="P26" i="1"/>
  <c r="I26" i="1"/>
  <c r="Q19" i="1"/>
  <c r="P19" i="1"/>
  <c r="I19" i="1"/>
  <c r="R34" i="1" l="1"/>
  <c r="L34" i="1"/>
  <c r="R26" i="1"/>
  <c r="L26" i="1"/>
  <c r="R19" i="1"/>
  <c r="L19" i="1"/>
  <c r="R9" i="1"/>
  <c r="R27" i="1"/>
  <c r="R10" i="1"/>
  <c r="R11" i="1"/>
  <c r="R35" i="1"/>
  <c r="R28" i="1"/>
  <c r="R36" i="1"/>
  <c r="R12" i="1"/>
  <c r="R37" i="1"/>
  <c r="R38" i="1"/>
  <c r="R39" i="1"/>
  <c r="R41" i="1"/>
  <c r="R42" i="1"/>
  <c r="Q8" i="1"/>
  <c r="Q9" i="1"/>
  <c r="Q20" i="1"/>
  <c r="Q27" i="1"/>
  <c r="Q11" i="1"/>
  <c r="Q21" i="1"/>
  <c r="Q28" i="1"/>
  <c r="Q36" i="1"/>
  <c r="Q13" i="1"/>
  <c r="Q38" i="1"/>
  <c r="Q40" i="1"/>
  <c r="Q41" i="1"/>
  <c r="Q42" i="1"/>
  <c r="P8" i="1"/>
  <c r="P20" i="1"/>
  <c r="P10" i="1"/>
  <c r="P35" i="1"/>
  <c r="P21" i="1"/>
  <c r="P12" i="1"/>
  <c r="P13" i="1"/>
  <c r="P37" i="1"/>
  <c r="P39" i="1"/>
  <c r="P40" i="1"/>
  <c r="R7" i="1"/>
  <c r="P7" i="1"/>
  <c r="I28" i="1"/>
  <c r="P28" i="1" s="1"/>
  <c r="I36" i="1"/>
  <c r="P36" i="1" s="1"/>
  <c r="I12" i="1"/>
  <c r="I13" i="1"/>
  <c r="I37" i="1"/>
  <c r="K37" i="1" s="1"/>
  <c r="I38" i="1"/>
  <c r="I39" i="1"/>
  <c r="I40" i="1"/>
  <c r="I41" i="1"/>
  <c r="P41" i="1" s="1"/>
  <c r="I42" i="1"/>
  <c r="P42" i="1" s="1"/>
  <c r="I21" i="1"/>
  <c r="R21" i="1" s="1"/>
  <c r="I8" i="1"/>
  <c r="I9" i="1"/>
  <c r="I20" i="1"/>
  <c r="I27" i="1"/>
  <c r="I10" i="1"/>
  <c r="I11" i="1"/>
  <c r="I35" i="1"/>
  <c r="I7" i="1"/>
  <c r="L37" i="1" l="1"/>
  <c r="Q37" i="1"/>
  <c r="L40" i="1"/>
  <c r="R40" i="1"/>
  <c r="Q12" i="1"/>
  <c r="L12" i="1"/>
  <c r="L13" i="1"/>
  <c r="R13" i="1"/>
  <c r="L42" i="1"/>
  <c r="L36" i="1"/>
  <c r="L41" i="1"/>
  <c r="L28" i="1"/>
  <c r="L21" i="1"/>
  <c r="Q39" i="1" l="1"/>
  <c r="L39" i="1"/>
  <c r="P38" i="1"/>
  <c r="L38" i="1"/>
  <c r="L10" i="1" l="1"/>
  <c r="Q10" i="1"/>
  <c r="K7" i="1"/>
  <c r="R8" i="1" l="1"/>
  <c r="L8" i="1"/>
  <c r="R20" i="1"/>
  <c r="L20" i="1"/>
  <c r="L11" i="1"/>
  <c r="P11" i="1"/>
  <c r="P27" i="1"/>
  <c r="L27" i="1"/>
  <c r="Q7" i="1"/>
  <c r="L7" i="1"/>
  <c r="L35" i="1"/>
  <c r="Q35" i="1"/>
  <c r="Q48" i="1" s="1"/>
  <c r="L9" i="1"/>
  <c r="P9" i="1"/>
  <c r="L48" i="1"/>
  <c r="P48" i="1" l="1"/>
  <c r="R48" i="1"/>
</calcChain>
</file>

<file path=xl/sharedStrings.xml><?xml version="1.0" encoding="utf-8"?>
<sst xmlns="http://schemas.openxmlformats.org/spreadsheetml/2006/main" count="155" uniqueCount="48">
  <si>
    <t>CIRCUITO</t>
  </si>
  <si>
    <t>DESCRIÇÃO</t>
  </si>
  <si>
    <t>AR COND</t>
  </si>
  <si>
    <t>RESERVA</t>
  </si>
  <si>
    <t>TOMADAS(W)</t>
  </si>
  <si>
    <t>POTÊNCIA</t>
  </si>
  <si>
    <t>ATIVA(W)</t>
  </si>
  <si>
    <t>FATOR</t>
  </si>
  <si>
    <t>DE POTÊNCIA</t>
  </si>
  <si>
    <t>APARENTE</t>
  </si>
  <si>
    <t>CORRENTE</t>
  </si>
  <si>
    <t>DE PROJETO</t>
  </si>
  <si>
    <t>DISJUNTOR</t>
  </si>
  <si>
    <t>A</t>
  </si>
  <si>
    <t>FIO/CABO</t>
  </si>
  <si>
    <t>mm²</t>
  </si>
  <si>
    <t>FASES</t>
  </si>
  <si>
    <t>A B C</t>
  </si>
  <si>
    <t>B</t>
  </si>
  <si>
    <t>C</t>
  </si>
  <si>
    <t>(W)</t>
  </si>
  <si>
    <t>1F+N+ T #2.5</t>
  </si>
  <si>
    <t>ABC</t>
  </si>
  <si>
    <t>TUG 1 - RECEPÇÃO</t>
  </si>
  <si>
    <t>TUG 2 - CONSULTÓRIO 1</t>
  </si>
  <si>
    <t>TUG 3 - CONSULTÓRIO 2</t>
  </si>
  <si>
    <t>TUG 4 - COPA</t>
  </si>
  <si>
    <t>TUG 5 - ADM</t>
  </si>
  <si>
    <t>TUG 6 - CONS. ODONT.</t>
  </si>
  <si>
    <t>RAIO X</t>
  </si>
  <si>
    <t>AUTOCLAVIS 1</t>
  </si>
  <si>
    <t>AUTOCLAVIS 2</t>
  </si>
  <si>
    <t>COMPRESSOR</t>
  </si>
  <si>
    <t>BOMBA</t>
  </si>
  <si>
    <t>CADEIRA ODONTOLÓGICA</t>
  </si>
  <si>
    <t>ESPECÍFICO</t>
  </si>
  <si>
    <t>-</t>
  </si>
  <si>
    <t>POTENCIA TOTAL COM FATOR DE DEMANDA =</t>
  </si>
  <si>
    <t>ILUMINAÇÃO EXTERNA</t>
  </si>
  <si>
    <t>ILUMINAÇÃO INTERNA</t>
  </si>
  <si>
    <t>QUADRO DE DISTRIBUIÇÃO DE CARGAS</t>
  </si>
  <si>
    <t>3F+N+ T # 25.0</t>
  </si>
  <si>
    <t>ILUMINAÇÃO</t>
  </si>
  <si>
    <t xml:space="preserve">ILUMINAÇÃO </t>
  </si>
  <si>
    <t>QUADRO DE DISTRIBUIÇÃO 1 - USO GERAL</t>
  </si>
  <si>
    <t>QUADRO DE DISTRIBUIÇÃO 2 - CONSULTÓRIO 1</t>
  </si>
  <si>
    <t>QUADRO DE DISTRIBUIÇÃO 3 - CONSULTÓRIO 2</t>
  </si>
  <si>
    <t>QUADRO DE DISTRIBUIÇÃO 4 - CONSULTÓRIO ODONTOLÓGICO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</si>
</sst>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5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center" vertical="center"/>
    </xf>
    <xf numFmtId="2" fontId="0" fillId="0" borderId="7" xfId="0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48"/>
  <sheetViews>
    <sheetView tabSelected="1" zoomScale="70" zoomScaleNormal="70" workbookViewId="0">
      <selection activeCell="L31" sqref="L31"/>
    </sheetView>
  </sheetViews>
  <sheetFormatPr defaultRowHeight="15" x14ac:dyDescent="0.25"/>
  <cols>
    <col min="2" max="2" width="12.85546875" bestFit="1" customWidth="1"/>
    <col min="3" max="3" width="27.85546875" bestFit="1" customWidth="1"/>
    <col min="4" max="5" width="4.5703125" bestFit="1" customWidth="1"/>
    <col min="6" max="6" width="7.85546875" customWidth="1"/>
    <col min="7" max="7" width="8" customWidth="1"/>
    <col min="8" max="8" width="15.7109375" bestFit="1" customWidth="1"/>
    <col min="9" max="9" width="13.42578125" bestFit="1" customWidth="1"/>
    <col min="10" max="10" width="17.28515625" bestFit="1" customWidth="1"/>
    <col min="11" max="11" width="14.28515625" bestFit="1" customWidth="1"/>
    <col min="12" max="12" width="16.7109375" bestFit="1" customWidth="1"/>
    <col min="13" max="13" width="15" bestFit="1" customWidth="1"/>
    <col min="14" max="14" width="18.7109375" bestFit="1" customWidth="1"/>
    <col min="15" max="15" width="9.5703125" bestFit="1" customWidth="1"/>
    <col min="16" max="16" width="7.85546875" bestFit="1" customWidth="1"/>
    <col min="17" max="18" width="8.85546875" bestFit="1" customWidth="1"/>
    <col min="19" max="19" width="4.28515625" bestFit="1" customWidth="1"/>
  </cols>
  <sheetData>
    <row r="2" spans="2:20" x14ac:dyDescent="0.25">
      <c r="B2" s="3" t="s">
        <v>40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2"/>
      <c r="T2" s="2"/>
    </row>
    <row r="3" spans="2:20" x14ac:dyDescent="0.25">
      <c r="B3" s="6" t="s">
        <v>0</v>
      </c>
      <c r="C3" s="7" t="s">
        <v>1</v>
      </c>
      <c r="D3" s="7"/>
      <c r="E3" s="7"/>
      <c r="F3" s="8" t="s">
        <v>4</v>
      </c>
      <c r="G3" s="8"/>
      <c r="H3" s="9" t="s">
        <v>35</v>
      </c>
      <c r="I3" s="9" t="s">
        <v>5</v>
      </c>
      <c r="J3" s="9" t="s">
        <v>7</v>
      </c>
      <c r="K3" s="9" t="s">
        <v>5</v>
      </c>
      <c r="L3" s="9" t="s">
        <v>10</v>
      </c>
      <c r="M3" s="9" t="s">
        <v>12</v>
      </c>
      <c r="N3" s="9" t="s">
        <v>14</v>
      </c>
      <c r="O3" s="9" t="s">
        <v>16</v>
      </c>
      <c r="P3" s="9" t="s">
        <v>13</v>
      </c>
      <c r="Q3" s="9" t="s">
        <v>18</v>
      </c>
      <c r="R3" s="10" t="s">
        <v>19</v>
      </c>
      <c r="S3" s="1"/>
      <c r="T3" s="1"/>
    </row>
    <row r="4" spans="2:20" x14ac:dyDescent="0.25">
      <c r="B4" s="6"/>
      <c r="C4" s="7"/>
      <c r="D4" s="11">
        <v>20</v>
      </c>
      <c r="E4" s="11">
        <v>40</v>
      </c>
      <c r="F4" s="12">
        <v>100</v>
      </c>
      <c r="G4" s="12">
        <v>600</v>
      </c>
      <c r="H4" s="9"/>
      <c r="I4" s="9" t="s">
        <v>6</v>
      </c>
      <c r="J4" s="9" t="s">
        <v>8</v>
      </c>
      <c r="K4" s="9" t="s">
        <v>9</v>
      </c>
      <c r="L4" s="9" t="s">
        <v>11</v>
      </c>
      <c r="M4" s="12" t="s">
        <v>13</v>
      </c>
      <c r="N4" s="9" t="s">
        <v>15</v>
      </c>
      <c r="O4" s="9" t="s">
        <v>22</v>
      </c>
      <c r="P4" s="9" t="s">
        <v>17</v>
      </c>
      <c r="Q4" s="9" t="s">
        <v>20</v>
      </c>
      <c r="R4" s="10" t="s">
        <v>20</v>
      </c>
      <c r="S4" s="1"/>
      <c r="T4" s="1"/>
    </row>
    <row r="5" spans="2:20" x14ac:dyDescent="0.25">
      <c r="B5" s="13"/>
      <c r="C5" s="11"/>
      <c r="D5" s="11"/>
      <c r="E5" s="11"/>
      <c r="F5" s="12"/>
      <c r="G5" s="12"/>
      <c r="H5" s="9"/>
      <c r="I5" s="9"/>
      <c r="J5" s="9"/>
      <c r="K5" s="9"/>
      <c r="L5" s="9"/>
      <c r="M5" s="12"/>
      <c r="N5" s="9"/>
      <c r="O5" s="9"/>
      <c r="P5" s="9"/>
      <c r="Q5" s="9"/>
      <c r="R5" s="10"/>
      <c r="S5" s="1"/>
      <c r="T5" s="1"/>
    </row>
    <row r="6" spans="2:20" x14ac:dyDescent="0.25">
      <c r="B6" s="14" t="s">
        <v>44</v>
      </c>
      <c r="C6" s="15"/>
      <c r="D6" s="15"/>
      <c r="E6" s="15"/>
      <c r="F6" s="15"/>
      <c r="G6" s="15"/>
      <c r="H6" s="15"/>
      <c r="I6" s="9"/>
      <c r="J6" s="9"/>
      <c r="K6" s="9"/>
      <c r="L6" s="9"/>
      <c r="M6" s="12"/>
      <c r="N6" s="9"/>
      <c r="O6" s="9"/>
      <c r="P6" s="9"/>
      <c r="Q6" s="9"/>
      <c r="R6" s="10"/>
      <c r="S6" s="1"/>
      <c r="T6" s="1"/>
    </row>
    <row r="7" spans="2:20" x14ac:dyDescent="0.25">
      <c r="B7" s="16">
        <v>1</v>
      </c>
      <c r="C7" s="17" t="s">
        <v>38</v>
      </c>
      <c r="D7" s="18">
        <v>4</v>
      </c>
      <c r="E7" s="18">
        <v>6</v>
      </c>
      <c r="F7" s="18">
        <v>0</v>
      </c>
      <c r="G7" s="18">
        <v>0</v>
      </c>
      <c r="H7" s="18">
        <v>0</v>
      </c>
      <c r="I7" s="18">
        <f>+D7*$D$4+E7*$E$4+F7*$F$4+G7*$G$4</f>
        <v>320</v>
      </c>
      <c r="J7" s="18">
        <v>1</v>
      </c>
      <c r="K7" s="19">
        <f>J7*I7</f>
        <v>320</v>
      </c>
      <c r="L7" s="20">
        <f>(K7/220)*1.15</f>
        <v>1.6727272727272726</v>
      </c>
      <c r="M7" s="18">
        <v>10</v>
      </c>
      <c r="N7" s="18" t="s">
        <v>21</v>
      </c>
      <c r="O7" s="18" t="s">
        <v>18</v>
      </c>
      <c r="P7" s="18">
        <f>IF(O7="A",K7,0)</f>
        <v>0</v>
      </c>
      <c r="Q7" s="18">
        <f>IF(O7="B",K7,0)</f>
        <v>320</v>
      </c>
      <c r="R7" s="21">
        <f>IF(O7="C",K7,0)</f>
        <v>0</v>
      </c>
    </row>
    <row r="8" spans="2:20" x14ac:dyDescent="0.25">
      <c r="B8" s="16">
        <v>2</v>
      </c>
      <c r="C8" s="17" t="s">
        <v>39</v>
      </c>
      <c r="D8" s="18">
        <v>3</v>
      </c>
      <c r="E8" s="18">
        <v>10</v>
      </c>
      <c r="F8" s="18">
        <v>0</v>
      </c>
      <c r="G8" s="18">
        <v>0</v>
      </c>
      <c r="H8" s="18">
        <v>0</v>
      </c>
      <c r="I8" s="18">
        <f t="shared" ref="I8:I11" si="0">+D8*$D$4+E8*$E$4+F8*$F$4+G8*$G$4</f>
        <v>460</v>
      </c>
      <c r="J8" s="18">
        <v>1</v>
      </c>
      <c r="K8" s="19">
        <f t="shared" ref="K8:K13" si="1">J8*I8</f>
        <v>460</v>
      </c>
      <c r="L8" s="20">
        <f t="shared" ref="L8:L13" si="2">(K8/220)*1.15</f>
        <v>2.4045454545454543</v>
      </c>
      <c r="M8" s="18">
        <v>10</v>
      </c>
      <c r="N8" s="18" t="s">
        <v>21</v>
      </c>
      <c r="O8" s="18" t="s">
        <v>19</v>
      </c>
      <c r="P8" s="18">
        <f t="shared" ref="P8:P13" si="3">IF(O8="A",K8,0)</f>
        <v>0</v>
      </c>
      <c r="Q8" s="18">
        <f t="shared" ref="Q8:Q13" si="4">IF(O8="B",K8,0)</f>
        <v>0</v>
      </c>
      <c r="R8" s="21">
        <f t="shared" ref="R8:R13" si="5">IF(O8="C",K8,0)</f>
        <v>460</v>
      </c>
    </row>
    <row r="9" spans="2:20" x14ac:dyDescent="0.25">
      <c r="B9" s="16">
        <v>3</v>
      </c>
      <c r="C9" s="17" t="s">
        <v>23</v>
      </c>
      <c r="D9" s="18">
        <v>0</v>
      </c>
      <c r="E9" s="18">
        <v>0</v>
      </c>
      <c r="F9" s="18">
        <v>22</v>
      </c>
      <c r="G9" s="18">
        <v>0</v>
      </c>
      <c r="H9" s="18">
        <v>0</v>
      </c>
      <c r="I9" s="18">
        <f t="shared" si="0"/>
        <v>2200</v>
      </c>
      <c r="J9" s="18">
        <v>1</v>
      </c>
      <c r="K9" s="19">
        <f t="shared" si="1"/>
        <v>2200</v>
      </c>
      <c r="L9" s="20">
        <f t="shared" si="2"/>
        <v>11.5</v>
      </c>
      <c r="M9" s="18">
        <v>16</v>
      </c>
      <c r="N9" s="18" t="s">
        <v>21</v>
      </c>
      <c r="O9" s="18" t="s">
        <v>13</v>
      </c>
      <c r="P9" s="18">
        <f t="shared" si="3"/>
        <v>2200</v>
      </c>
      <c r="Q9" s="18">
        <f t="shared" si="4"/>
        <v>0</v>
      </c>
      <c r="R9" s="21">
        <f t="shared" si="5"/>
        <v>0</v>
      </c>
    </row>
    <row r="10" spans="2:20" x14ac:dyDescent="0.25">
      <c r="B10" s="16">
        <v>4</v>
      </c>
      <c r="C10" s="17" t="s">
        <v>26</v>
      </c>
      <c r="D10" s="18">
        <v>0</v>
      </c>
      <c r="E10" s="18">
        <v>0</v>
      </c>
      <c r="F10" s="18">
        <v>8</v>
      </c>
      <c r="G10" s="18">
        <v>3</v>
      </c>
      <c r="H10" s="18">
        <v>0</v>
      </c>
      <c r="I10" s="18">
        <f t="shared" si="0"/>
        <v>2600</v>
      </c>
      <c r="J10" s="18">
        <v>1</v>
      </c>
      <c r="K10" s="19">
        <f t="shared" si="1"/>
        <v>2600</v>
      </c>
      <c r="L10" s="20">
        <f t="shared" si="2"/>
        <v>13.59090909090909</v>
      </c>
      <c r="M10" s="18">
        <v>16</v>
      </c>
      <c r="N10" s="18" t="s">
        <v>21</v>
      </c>
      <c r="O10" s="18" t="s">
        <v>18</v>
      </c>
      <c r="P10" s="18">
        <f t="shared" si="3"/>
        <v>0</v>
      </c>
      <c r="Q10" s="18">
        <f t="shared" si="4"/>
        <v>2600</v>
      </c>
      <c r="R10" s="21">
        <f t="shared" si="5"/>
        <v>0</v>
      </c>
    </row>
    <row r="11" spans="2:20" x14ac:dyDescent="0.25">
      <c r="B11" s="16">
        <v>5</v>
      </c>
      <c r="C11" s="17" t="s">
        <v>27</v>
      </c>
      <c r="D11" s="18">
        <v>0</v>
      </c>
      <c r="E11" s="18">
        <v>0</v>
      </c>
      <c r="F11" s="18">
        <v>6</v>
      </c>
      <c r="G11" s="18">
        <v>0</v>
      </c>
      <c r="H11" s="18">
        <v>0</v>
      </c>
      <c r="I11" s="18">
        <f t="shared" si="0"/>
        <v>600</v>
      </c>
      <c r="J11" s="18">
        <v>1</v>
      </c>
      <c r="K11" s="19">
        <f t="shared" si="1"/>
        <v>600</v>
      </c>
      <c r="L11" s="20">
        <f t="shared" si="2"/>
        <v>3.1363636363636358</v>
      </c>
      <c r="M11" s="18">
        <v>10</v>
      </c>
      <c r="N11" s="18" t="s">
        <v>21</v>
      </c>
      <c r="O11" s="18" t="s">
        <v>13</v>
      </c>
      <c r="P11" s="18">
        <f t="shared" si="3"/>
        <v>600</v>
      </c>
      <c r="Q11" s="18">
        <f t="shared" si="4"/>
        <v>0</v>
      </c>
      <c r="R11" s="21">
        <f t="shared" si="5"/>
        <v>0</v>
      </c>
    </row>
    <row r="12" spans="2:20" x14ac:dyDescent="0.25">
      <c r="B12" s="16">
        <v>6</v>
      </c>
      <c r="C12" s="17" t="s">
        <v>2</v>
      </c>
      <c r="D12" s="18">
        <v>0</v>
      </c>
      <c r="E12" s="18">
        <v>0</v>
      </c>
      <c r="F12" s="18">
        <v>0</v>
      </c>
      <c r="G12" s="18">
        <v>0</v>
      </c>
      <c r="H12" s="18">
        <v>1600</v>
      </c>
      <c r="I12" s="18">
        <f t="shared" ref="I12:I13" si="6">H12</f>
        <v>1600</v>
      </c>
      <c r="J12" s="18">
        <v>1</v>
      </c>
      <c r="K12" s="19">
        <f t="shared" si="1"/>
        <v>1600</v>
      </c>
      <c r="L12" s="20">
        <f t="shared" si="2"/>
        <v>8.3636363636363633</v>
      </c>
      <c r="M12" s="18">
        <v>16</v>
      </c>
      <c r="N12" s="18" t="s">
        <v>21</v>
      </c>
      <c r="O12" s="18" t="s">
        <v>18</v>
      </c>
      <c r="P12" s="18">
        <f t="shared" si="3"/>
        <v>0</v>
      </c>
      <c r="Q12" s="18">
        <f t="shared" si="4"/>
        <v>1600</v>
      </c>
      <c r="R12" s="21">
        <f t="shared" si="5"/>
        <v>0</v>
      </c>
    </row>
    <row r="13" spans="2:20" x14ac:dyDescent="0.25">
      <c r="B13" s="16">
        <v>7</v>
      </c>
      <c r="C13" s="17" t="s">
        <v>2</v>
      </c>
      <c r="D13" s="18">
        <v>0</v>
      </c>
      <c r="E13" s="18">
        <v>0</v>
      </c>
      <c r="F13" s="18">
        <v>0</v>
      </c>
      <c r="G13" s="18">
        <v>0</v>
      </c>
      <c r="H13" s="18">
        <v>1600</v>
      </c>
      <c r="I13" s="18">
        <f t="shared" si="6"/>
        <v>1600</v>
      </c>
      <c r="J13" s="18">
        <v>1</v>
      </c>
      <c r="K13" s="19">
        <f t="shared" si="1"/>
        <v>1600</v>
      </c>
      <c r="L13" s="20">
        <f t="shared" si="2"/>
        <v>8.3636363636363633</v>
      </c>
      <c r="M13" s="18">
        <v>16</v>
      </c>
      <c r="N13" s="18" t="s">
        <v>21</v>
      </c>
      <c r="O13" s="18" t="s">
        <v>19</v>
      </c>
      <c r="P13" s="18">
        <f t="shared" si="3"/>
        <v>0</v>
      </c>
      <c r="Q13" s="18">
        <f t="shared" si="4"/>
        <v>0</v>
      </c>
      <c r="R13" s="21">
        <f t="shared" si="5"/>
        <v>1600</v>
      </c>
    </row>
    <row r="14" spans="2:20" x14ac:dyDescent="0.25">
      <c r="B14" s="16"/>
      <c r="C14" s="17" t="s">
        <v>3</v>
      </c>
      <c r="D14" s="18" t="s">
        <v>36</v>
      </c>
      <c r="E14" s="18" t="s">
        <v>36</v>
      </c>
      <c r="F14" s="18" t="s">
        <v>36</v>
      </c>
      <c r="G14" s="18" t="s">
        <v>36</v>
      </c>
      <c r="H14" s="18" t="s">
        <v>36</v>
      </c>
      <c r="I14" s="18" t="s">
        <v>36</v>
      </c>
      <c r="J14" s="18" t="s">
        <v>36</v>
      </c>
      <c r="K14" s="18" t="s">
        <v>36</v>
      </c>
      <c r="L14" s="18" t="s">
        <v>36</v>
      </c>
      <c r="M14" s="18" t="s">
        <v>36</v>
      </c>
      <c r="N14" s="18" t="s">
        <v>36</v>
      </c>
      <c r="O14" s="18" t="s">
        <v>36</v>
      </c>
      <c r="P14" s="18" t="s">
        <v>36</v>
      </c>
      <c r="Q14" s="18" t="s">
        <v>36</v>
      </c>
      <c r="R14" s="21" t="s">
        <v>36</v>
      </c>
    </row>
    <row r="15" spans="2:20" x14ac:dyDescent="0.25">
      <c r="B15" s="16"/>
      <c r="C15" s="17" t="s">
        <v>3</v>
      </c>
      <c r="D15" s="18" t="s">
        <v>36</v>
      </c>
      <c r="E15" s="18" t="s">
        <v>36</v>
      </c>
      <c r="F15" s="18" t="s">
        <v>36</v>
      </c>
      <c r="G15" s="18" t="s">
        <v>36</v>
      </c>
      <c r="H15" s="18" t="s">
        <v>36</v>
      </c>
      <c r="I15" s="18" t="s">
        <v>36</v>
      </c>
      <c r="J15" s="18" t="s">
        <v>36</v>
      </c>
      <c r="K15" s="18" t="s">
        <v>36</v>
      </c>
      <c r="L15" s="18" t="s">
        <v>36</v>
      </c>
      <c r="M15" s="18" t="s">
        <v>36</v>
      </c>
      <c r="N15" s="18" t="s">
        <v>36</v>
      </c>
      <c r="O15" s="18" t="s">
        <v>36</v>
      </c>
      <c r="P15" s="18" t="s">
        <v>36</v>
      </c>
      <c r="Q15" s="18" t="s">
        <v>36</v>
      </c>
      <c r="R15" s="21" t="s">
        <v>36</v>
      </c>
    </row>
    <row r="16" spans="2:20" x14ac:dyDescent="0.25">
      <c r="B16" s="16"/>
      <c r="C16" s="17" t="s">
        <v>3</v>
      </c>
      <c r="D16" s="18" t="s">
        <v>36</v>
      </c>
      <c r="E16" s="18" t="s">
        <v>36</v>
      </c>
      <c r="F16" s="18" t="s">
        <v>36</v>
      </c>
      <c r="G16" s="18" t="s">
        <v>36</v>
      </c>
      <c r="H16" s="18" t="s">
        <v>36</v>
      </c>
      <c r="I16" s="18" t="s">
        <v>36</v>
      </c>
      <c r="J16" s="18" t="s">
        <v>36</v>
      </c>
      <c r="K16" s="18" t="s">
        <v>36</v>
      </c>
      <c r="L16" s="18" t="s">
        <v>36</v>
      </c>
      <c r="M16" s="18" t="s">
        <v>36</v>
      </c>
      <c r="N16" s="18" t="s">
        <v>36</v>
      </c>
      <c r="O16" s="18" t="s">
        <v>36</v>
      </c>
      <c r="P16" s="18" t="s">
        <v>36</v>
      </c>
      <c r="Q16" s="18" t="s">
        <v>36</v>
      </c>
      <c r="R16" s="21" t="s">
        <v>36</v>
      </c>
    </row>
    <row r="17" spans="2:18" x14ac:dyDescent="0.25">
      <c r="B17" s="22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23"/>
    </row>
    <row r="18" spans="2:18" x14ac:dyDescent="0.25">
      <c r="B18" s="14" t="s">
        <v>45</v>
      </c>
      <c r="C18" s="15"/>
      <c r="D18" s="15"/>
      <c r="E18" s="15"/>
      <c r="F18" s="15"/>
      <c r="G18" s="15"/>
      <c r="H18" s="15"/>
      <c r="I18" s="17"/>
      <c r="J18" s="17"/>
      <c r="K18" s="17"/>
      <c r="L18" s="17"/>
      <c r="M18" s="17"/>
      <c r="N18" s="17"/>
      <c r="O18" s="17"/>
      <c r="P18" s="17"/>
      <c r="Q18" s="17"/>
      <c r="R18" s="23"/>
    </row>
    <row r="19" spans="2:18" x14ac:dyDescent="0.25">
      <c r="B19" s="16">
        <v>8</v>
      </c>
      <c r="C19" s="17" t="s">
        <v>43</v>
      </c>
      <c r="D19" s="18">
        <v>4</v>
      </c>
      <c r="E19" s="18">
        <v>2</v>
      </c>
      <c r="F19" s="18">
        <v>0</v>
      </c>
      <c r="G19" s="18">
        <v>0</v>
      </c>
      <c r="H19" s="18">
        <v>0</v>
      </c>
      <c r="I19" s="18">
        <f t="shared" ref="I19" si="7">+D19*$D$4+E19*$E$4+F19*$F$4+G19*$G$4</f>
        <v>160</v>
      </c>
      <c r="J19" s="18">
        <v>1</v>
      </c>
      <c r="K19" s="19">
        <f t="shared" ref="K19:K21" si="8">J19*I19</f>
        <v>160</v>
      </c>
      <c r="L19" s="20">
        <f t="shared" ref="L19" si="9">(K19/220)*1.15</f>
        <v>0.83636363636363631</v>
      </c>
      <c r="M19" s="18">
        <v>10</v>
      </c>
      <c r="N19" s="18" t="s">
        <v>21</v>
      </c>
      <c r="O19" s="18" t="s">
        <v>19</v>
      </c>
      <c r="P19" s="18">
        <f t="shared" ref="P19" si="10">IF(O19="A",K19,0)</f>
        <v>0</v>
      </c>
      <c r="Q19" s="18">
        <f t="shared" ref="Q19" si="11">IF(O19="B",K19,0)</f>
        <v>0</v>
      </c>
      <c r="R19" s="21">
        <f t="shared" ref="R19" si="12">IF(O19="C",K19,0)</f>
        <v>160</v>
      </c>
    </row>
    <row r="20" spans="2:18" x14ac:dyDescent="0.25">
      <c r="B20" s="16">
        <v>9</v>
      </c>
      <c r="C20" s="17" t="s">
        <v>24</v>
      </c>
      <c r="D20" s="18">
        <v>0</v>
      </c>
      <c r="E20" s="18">
        <v>0</v>
      </c>
      <c r="F20" s="18">
        <v>13</v>
      </c>
      <c r="G20" s="18">
        <v>0</v>
      </c>
      <c r="H20" s="18">
        <v>0</v>
      </c>
      <c r="I20" s="18">
        <f>+D20*$D$4+E20*$E$4+F20*$F$4+G20*$G$4</f>
        <v>1300</v>
      </c>
      <c r="J20" s="18">
        <v>1</v>
      </c>
      <c r="K20" s="19">
        <f t="shared" si="8"/>
        <v>1300</v>
      </c>
      <c r="L20" s="20">
        <f>(K20/220)*1.15</f>
        <v>6.795454545454545</v>
      </c>
      <c r="M20" s="18">
        <v>10</v>
      </c>
      <c r="N20" s="18" t="s">
        <v>21</v>
      </c>
      <c r="O20" s="18" t="s">
        <v>19</v>
      </c>
      <c r="P20" s="18">
        <f>IF(O20="A",K20,0)</f>
        <v>0</v>
      </c>
      <c r="Q20" s="18">
        <f>IF(O20="B",K20,0)</f>
        <v>0</v>
      </c>
      <c r="R20" s="21">
        <f>IF(O20="C",K20,0)</f>
        <v>1300</v>
      </c>
    </row>
    <row r="21" spans="2:18" x14ac:dyDescent="0.25">
      <c r="B21" s="16">
        <v>10</v>
      </c>
      <c r="C21" s="17" t="s">
        <v>2</v>
      </c>
      <c r="D21" s="18">
        <v>0</v>
      </c>
      <c r="E21" s="18">
        <v>0</v>
      </c>
      <c r="F21" s="18">
        <v>0</v>
      </c>
      <c r="G21" s="18">
        <v>0</v>
      </c>
      <c r="H21" s="18">
        <v>1600</v>
      </c>
      <c r="I21" s="18">
        <f>H21</f>
        <v>1600</v>
      </c>
      <c r="J21" s="18">
        <v>1</v>
      </c>
      <c r="K21" s="19">
        <f t="shared" si="8"/>
        <v>1600</v>
      </c>
      <c r="L21" s="20">
        <f>(K21/220)*1.15</f>
        <v>8.3636363636363633</v>
      </c>
      <c r="M21" s="18">
        <v>16</v>
      </c>
      <c r="N21" s="18" t="s">
        <v>21</v>
      </c>
      <c r="O21" s="18" t="s">
        <v>19</v>
      </c>
      <c r="P21" s="18">
        <f>IF(O21="A",K21,0)</f>
        <v>0</v>
      </c>
      <c r="Q21" s="18">
        <f>IF(O21="B",K21,0)</f>
        <v>0</v>
      </c>
      <c r="R21" s="21">
        <f>IF(O21="C",K21,0)</f>
        <v>1600</v>
      </c>
    </row>
    <row r="22" spans="2:18" x14ac:dyDescent="0.25">
      <c r="B22" s="16"/>
      <c r="C22" s="17" t="s">
        <v>3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21"/>
    </row>
    <row r="23" spans="2:18" x14ac:dyDescent="0.25">
      <c r="B23" s="16"/>
      <c r="C23" s="17" t="s">
        <v>3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21"/>
    </row>
    <row r="24" spans="2:18" x14ac:dyDescent="0.25">
      <c r="B24" s="16"/>
      <c r="C24" s="17" t="s">
        <v>3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21"/>
    </row>
    <row r="25" spans="2:18" x14ac:dyDescent="0.25">
      <c r="B25" s="14" t="s">
        <v>46</v>
      </c>
      <c r="C25" s="15"/>
      <c r="D25" s="15"/>
      <c r="E25" s="15"/>
      <c r="F25" s="15"/>
      <c r="G25" s="15"/>
      <c r="H25" s="15"/>
      <c r="I25" s="17"/>
      <c r="J25" s="17"/>
      <c r="K25" s="17"/>
      <c r="L25" s="17"/>
      <c r="M25" s="17"/>
      <c r="N25" s="17"/>
      <c r="O25" s="17"/>
      <c r="P25" s="17"/>
      <c r="Q25" s="17"/>
      <c r="R25" s="23"/>
    </row>
    <row r="26" spans="2:18" x14ac:dyDescent="0.25">
      <c r="B26" s="16">
        <v>11</v>
      </c>
      <c r="C26" s="17" t="s">
        <v>42</v>
      </c>
      <c r="D26" s="18">
        <v>2</v>
      </c>
      <c r="E26" s="18">
        <v>2</v>
      </c>
      <c r="F26" s="18">
        <v>0</v>
      </c>
      <c r="G26" s="18">
        <v>0</v>
      </c>
      <c r="H26" s="18">
        <v>0</v>
      </c>
      <c r="I26" s="18">
        <f t="shared" ref="I26" si="13">+D26*$D$4+E26*$E$4+F26*$F$4+G26*$G$4</f>
        <v>120</v>
      </c>
      <c r="J26" s="18">
        <v>1</v>
      </c>
      <c r="K26" s="19">
        <f t="shared" ref="K26:K28" si="14">J26*I26</f>
        <v>120</v>
      </c>
      <c r="L26" s="20">
        <f t="shared" ref="L26" si="15">(K26/220)*1.15</f>
        <v>0.6272727272727272</v>
      </c>
      <c r="M26" s="18">
        <v>10</v>
      </c>
      <c r="N26" s="18" t="s">
        <v>21</v>
      </c>
      <c r="O26" s="18" t="s">
        <v>19</v>
      </c>
      <c r="P26" s="18">
        <f t="shared" ref="P26" si="16">IF(O26="A",K26,0)</f>
        <v>0</v>
      </c>
      <c r="Q26" s="18">
        <f t="shared" ref="Q26" si="17">IF(O26="B",K26,0)</f>
        <v>0</v>
      </c>
      <c r="R26" s="21">
        <f t="shared" ref="R26" si="18">IF(O26="C",K26,0)</f>
        <v>120</v>
      </c>
    </row>
    <row r="27" spans="2:18" x14ac:dyDescent="0.25">
      <c r="B27" s="16">
        <v>12</v>
      </c>
      <c r="C27" s="17" t="s">
        <v>25</v>
      </c>
      <c r="D27" s="18">
        <v>0</v>
      </c>
      <c r="E27" s="18">
        <v>0</v>
      </c>
      <c r="F27" s="18">
        <v>11</v>
      </c>
      <c r="G27" s="18">
        <v>0</v>
      </c>
      <c r="H27" s="18">
        <v>0</v>
      </c>
      <c r="I27" s="18">
        <f>+D27*$D$4+E27*$E$4+F27*$F$4+G27*$G$4</f>
        <v>1100</v>
      </c>
      <c r="J27" s="18">
        <v>1</v>
      </c>
      <c r="K27" s="19">
        <f t="shared" si="14"/>
        <v>1100</v>
      </c>
      <c r="L27" s="20">
        <f>(K27/220)*1.15</f>
        <v>5.75</v>
      </c>
      <c r="M27" s="18">
        <v>10</v>
      </c>
      <c r="N27" s="18" t="s">
        <v>21</v>
      </c>
      <c r="O27" s="18" t="s">
        <v>13</v>
      </c>
      <c r="P27" s="18">
        <f>IF(O27="A",K27,0)</f>
        <v>1100</v>
      </c>
      <c r="Q27" s="18">
        <f>IF(O27="B",K27,0)</f>
        <v>0</v>
      </c>
      <c r="R27" s="21">
        <f>IF(O27="C",K27,0)</f>
        <v>0</v>
      </c>
    </row>
    <row r="28" spans="2:18" x14ac:dyDescent="0.25">
      <c r="B28" s="16">
        <v>13</v>
      </c>
      <c r="C28" s="17" t="s">
        <v>2</v>
      </c>
      <c r="D28" s="18">
        <v>0</v>
      </c>
      <c r="E28" s="18">
        <v>0</v>
      </c>
      <c r="F28" s="18">
        <v>0</v>
      </c>
      <c r="G28" s="18">
        <v>0</v>
      </c>
      <c r="H28" s="18">
        <v>1600</v>
      </c>
      <c r="I28" s="18">
        <f>H28</f>
        <v>1600</v>
      </c>
      <c r="J28" s="18">
        <v>1</v>
      </c>
      <c r="K28" s="19">
        <f t="shared" si="14"/>
        <v>1600</v>
      </c>
      <c r="L28" s="20">
        <f>(K28/220)*1.15</f>
        <v>8.3636363636363633</v>
      </c>
      <c r="M28" s="18">
        <v>16</v>
      </c>
      <c r="N28" s="18" t="s">
        <v>21</v>
      </c>
      <c r="O28" s="18" t="s">
        <v>13</v>
      </c>
      <c r="P28" s="18">
        <f>IF(O28="A",K28,0)</f>
        <v>1600</v>
      </c>
      <c r="Q28" s="18">
        <f>IF(O28="B",K28,0)</f>
        <v>0</v>
      </c>
      <c r="R28" s="21">
        <f>IF(O28="C",K28,0)</f>
        <v>0</v>
      </c>
    </row>
    <row r="29" spans="2:18" x14ac:dyDescent="0.25">
      <c r="B29" s="16"/>
      <c r="C29" s="17" t="s">
        <v>3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21"/>
    </row>
    <row r="30" spans="2:18" x14ac:dyDescent="0.25">
      <c r="B30" s="16"/>
      <c r="C30" s="17" t="s">
        <v>3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21"/>
    </row>
    <row r="31" spans="2:18" x14ac:dyDescent="0.25">
      <c r="B31" s="16"/>
      <c r="C31" s="17" t="s">
        <v>3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21"/>
    </row>
    <row r="32" spans="2:18" x14ac:dyDescent="0.25">
      <c r="B32" s="16"/>
      <c r="C32" s="17"/>
      <c r="D32" s="18"/>
      <c r="E32" s="18"/>
      <c r="F32" s="18"/>
      <c r="G32" s="18"/>
      <c r="H32" s="18"/>
      <c r="I32" s="18"/>
      <c r="J32" s="18"/>
      <c r="K32" s="19"/>
      <c r="L32" s="20"/>
      <c r="M32" s="18"/>
      <c r="N32" s="18"/>
      <c r="O32" s="18"/>
      <c r="P32" s="18"/>
      <c r="Q32" s="18"/>
      <c r="R32" s="21"/>
    </row>
    <row r="33" spans="2:19" x14ac:dyDescent="0.25">
      <c r="B33" s="14" t="s">
        <v>47</v>
      </c>
      <c r="C33" s="15"/>
      <c r="D33" s="15"/>
      <c r="E33" s="15"/>
      <c r="F33" s="15"/>
      <c r="G33" s="15"/>
      <c r="H33" s="15"/>
      <c r="I33" s="17"/>
      <c r="J33" s="17"/>
      <c r="K33" s="17"/>
      <c r="L33" s="17"/>
      <c r="M33" s="17"/>
      <c r="N33" s="17"/>
      <c r="O33" s="17"/>
      <c r="P33" s="17"/>
      <c r="Q33" s="17"/>
      <c r="R33" s="23"/>
    </row>
    <row r="34" spans="2:19" x14ac:dyDescent="0.25">
      <c r="B34" s="16">
        <v>14</v>
      </c>
      <c r="C34" s="17" t="s">
        <v>42</v>
      </c>
      <c r="D34" s="18">
        <v>10</v>
      </c>
      <c r="E34" s="18">
        <v>2</v>
      </c>
      <c r="F34" s="18">
        <v>0</v>
      </c>
      <c r="G34" s="18">
        <v>0</v>
      </c>
      <c r="H34" s="18">
        <v>0</v>
      </c>
      <c r="I34" s="18">
        <f t="shared" ref="I34" si="19">+D34*$D$4+E34*$E$4+F34*$F$4+G34*$G$4</f>
        <v>280</v>
      </c>
      <c r="J34" s="18">
        <v>1</v>
      </c>
      <c r="K34" s="19">
        <f t="shared" ref="K34:K42" si="20">J34*I34</f>
        <v>280</v>
      </c>
      <c r="L34" s="20">
        <f t="shared" ref="L34" si="21">(K34/220)*1.15</f>
        <v>1.4636363636363634</v>
      </c>
      <c r="M34" s="18">
        <v>10</v>
      </c>
      <c r="N34" s="18" t="s">
        <v>21</v>
      </c>
      <c r="O34" s="18" t="s">
        <v>19</v>
      </c>
      <c r="P34" s="18">
        <f t="shared" ref="P34" si="22">IF(O34="A",K34,0)</f>
        <v>0</v>
      </c>
      <c r="Q34" s="18">
        <f t="shared" ref="Q34" si="23">IF(O34="B",K34,0)</f>
        <v>0</v>
      </c>
      <c r="R34" s="21">
        <f t="shared" ref="R34" si="24">IF(O34="C",K34,0)</f>
        <v>280</v>
      </c>
    </row>
    <row r="35" spans="2:19" x14ac:dyDescent="0.25">
      <c r="B35" s="16">
        <v>15</v>
      </c>
      <c r="C35" s="17" t="s">
        <v>28</v>
      </c>
      <c r="D35" s="18">
        <v>0</v>
      </c>
      <c r="E35" s="18">
        <v>0</v>
      </c>
      <c r="F35" s="18">
        <v>15</v>
      </c>
      <c r="G35" s="18">
        <v>0</v>
      </c>
      <c r="H35" s="18">
        <v>0</v>
      </c>
      <c r="I35" s="18">
        <f>+D35*$D$4+E35*$E$4+F35*$F$4+G35*$G$4</f>
        <v>1500</v>
      </c>
      <c r="J35" s="18">
        <v>1</v>
      </c>
      <c r="K35" s="19">
        <f t="shared" si="20"/>
        <v>1500</v>
      </c>
      <c r="L35" s="20">
        <f t="shared" ref="L35:L42" si="25">(K35/220)*1.15</f>
        <v>7.8409090909090908</v>
      </c>
      <c r="M35" s="18">
        <v>10</v>
      </c>
      <c r="N35" s="18" t="s">
        <v>21</v>
      </c>
      <c r="O35" s="18" t="s">
        <v>18</v>
      </c>
      <c r="P35" s="18">
        <f t="shared" ref="P35:P42" si="26">IF(O35="A",K35,0)</f>
        <v>0</v>
      </c>
      <c r="Q35" s="18">
        <f t="shared" ref="Q35:Q42" si="27">IF(O35="B",K35,0)</f>
        <v>1500</v>
      </c>
      <c r="R35" s="21">
        <f t="shared" ref="R35:R42" si="28">IF(O35="C",K35,0)</f>
        <v>0</v>
      </c>
    </row>
    <row r="36" spans="2:19" x14ac:dyDescent="0.25">
      <c r="B36" s="16">
        <v>16</v>
      </c>
      <c r="C36" s="17" t="s">
        <v>2</v>
      </c>
      <c r="D36" s="18">
        <v>0</v>
      </c>
      <c r="E36" s="18">
        <v>0</v>
      </c>
      <c r="F36" s="18">
        <v>0</v>
      </c>
      <c r="G36" s="18">
        <v>0</v>
      </c>
      <c r="H36" s="18">
        <v>1600</v>
      </c>
      <c r="I36" s="18">
        <f t="shared" ref="I36:I42" si="29">H36</f>
        <v>1600</v>
      </c>
      <c r="J36" s="18">
        <v>1</v>
      </c>
      <c r="K36" s="19">
        <f t="shared" si="20"/>
        <v>1600</v>
      </c>
      <c r="L36" s="20">
        <f t="shared" si="25"/>
        <v>8.3636363636363633</v>
      </c>
      <c r="M36" s="18">
        <v>16</v>
      </c>
      <c r="N36" s="18" t="s">
        <v>21</v>
      </c>
      <c r="O36" s="18" t="s">
        <v>13</v>
      </c>
      <c r="P36" s="18">
        <f t="shared" si="26"/>
        <v>1600</v>
      </c>
      <c r="Q36" s="18">
        <f t="shared" si="27"/>
        <v>0</v>
      </c>
      <c r="R36" s="21">
        <f t="shared" si="28"/>
        <v>0</v>
      </c>
    </row>
    <row r="37" spans="2:19" x14ac:dyDescent="0.25">
      <c r="B37" s="16">
        <v>17</v>
      </c>
      <c r="C37" s="17" t="s">
        <v>29</v>
      </c>
      <c r="D37" s="18">
        <v>0</v>
      </c>
      <c r="E37" s="18">
        <v>0</v>
      </c>
      <c r="F37" s="18">
        <v>0</v>
      </c>
      <c r="G37" s="18">
        <v>0</v>
      </c>
      <c r="H37" s="18">
        <v>1000</v>
      </c>
      <c r="I37" s="18">
        <f t="shared" si="29"/>
        <v>1000</v>
      </c>
      <c r="J37" s="18">
        <v>1</v>
      </c>
      <c r="K37" s="19">
        <f t="shared" si="20"/>
        <v>1000</v>
      </c>
      <c r="L37" s="20">
        <f t="shared" si="25"/>
        <v>5.2272727272727275</v>
      </c>
      <c r="M37" s="18">
        <v>10</v>
      </c>
      <c r="N37" s="18" t="s">
        <v>21</v>
      </c>
      <c r="O37" s="18" t="s">
        <v>18</v>
      </c>
      <c r="P37" s="18">
        <f t="shared" si="26"/>
        <v>0</v>
      </c>
      <c r="Q37" s="18">
        <f t="shared" si="27"/>
        <v>1000</v>
      </c>
      <c r="R37" s="21">
        <f t="shared" si="28"/>
        <v>0</v>
      </c>
    </row>
    <row r="38" spans="2:19" x14ac:dyDescent="0.25">
      <c r="B38" s="16">
        <v>18</v>
      </c>
      <c r="C38" s="17" t="s">
        <v>30</v>
      </c>
      <c r="D38" s="18">
        <v>0</v>
      </c>
      <c r="E38" s="18">
        <v>0</v>
      </c>
      <c r="F38" s="18">
        <v>0</v>
      </c>
      <c r="G38" s="18">
        <v>0</v>
      </c>
      <c r="H38" s="18">
        <v>500</v>
      </c>
      <c r="I38" s="18">
        <f t="shared" si="29"/>
        <v>500</v>
      </c>
      <c r="J38" s="18">
        <v>1</v>
      </c>
      <c r="K38" s="19">
        <f t="shared" si="20"/>
        <v>500</v>
      </c>
      <c r="L38" s="20">
        <f t="shared" si="25"/>
        <v>2.6136363636363638</v>
      </c>
      <c r="M38" s="18">
        <v>16</v>
      </c>
      <c r="N38" s="18" t="s">
        <v>21</v>
      </c>
      <c r="O38" s="18" t="s">
        <v>13</v>
      </c>
      <c r="P38" s="18">
        <f t="shared" si="26"/>
        <v>500</v>
      </c>
      <c r="Q38" s="18">
        <f t="shared" si="27"/>
        <v>0</v>
      </c>
      <c r="R38" s="21">
        <f t="shared" si="28"/>
        <v>0</v>
      </c>
    </row>
    <row r="39" spans="2:19" x14ac:dyDescent="0.25">
      <c r="B39" s="16">
        <v>19</v>
      </c>
      <c r="C39" s="17" t="s">
        <v>31</v>
      </c>
      <c r="D39" s="18">
        <v>0</v>
      </c>
      <c r="E39" s="18">
        <v>0</v>
      </c>
      <c r="F39" s="18">
        <v>0</v>
      </c>
      <c r="G39" s="18">
        <v>0</v>
      </c>
      <c r="H39" s="18">
        <v>500</v>
      </c>
      <c r="I39" s="18">
        <f t="shared" si="29"/>
        <v>500</v>
      </c>
      <c r="J39" s="18">
        <v>1</v>
      </c>
      <c r="K39" s="19">
        <f t="shared" si="20"/>
        <v>500</v>
      </c>
      <c r="L39" s="20">
        <f t="shared" si="25"/>
        <v>2.6136363636363638</v>
      </c>
      <c r="M39" s="18">
        <v>20</v>
      </c>
      <c r="N39" s="18" t="s">
        <v>21</v>
      </c>
      <c r="O39" s="18" t="s">
        <v>18</v>
      </c>
      <c r="P39" s="18">
        <f t="shared" si="26"/>
        <v>0</v>
      </c>
      <c r="Q39" s="18">
        <f t="shared" si="27"/>
        <v>500</v>
      </c>
      <c r="R39" s="21">
        <f t="shared" si="28"/>
        <v>0</v>
      </c>
    </row>
    <row r="40" spans="2:19" x14ac:dyDescent="0.25">
      <c r="B40" s="16">
        <v>20</v>
      </c>
      <c r="C40" s="17" t="s">
        <v>32</v>
      </c>
      <c r="D40" s="18">
        <v>0</v>
      </c>
      <c r="E40" s="18">
        <v>0</v>
      </c>
      <c r="F40" s="18">
        <v>0</v>
      </c>
      <c r="G40" s="18">
        <v>0</v>
      </c>
      <c r="H40" s="18">
        <v>1700</v>
      </c>
      <c r="I40" s="18">
        <f t="shared" si="29"/>
        <v>1700</v>
      </c>
      <c r="J40" s="18">
        <v>1</v>
      </c>
      <c r="K40" s="19">
        <f t="shared" si="20"/>
        <v>1700</v>
      </c>
      <c r="L40" s="20">
        <f t="shared" si="25"/>
        <v>8.8863636363636367</v>
      </c>
      <c r="M40" s="18">
        <v>16</v>
      </c>
      <c r="N40" s="18" t="s">
        <v>21</v>
      </c>
      <c r="O40" s="18" t="s">
        <v>19</v>
      </c>
      <c r="P40" s="18">
        <f t="shared" si="26"/>
        <v>0</v>
      </c>
      <c r="Q40" s="18">
        <f t="shared" si="27"/>
        <v>0</v>
      </c>
      <c r="R40" s="21">
        <f t="shared" si="28"/>
        <v>1700</v>
      </c>
    </row>
    <row r="41" spans="2:19" x14ac:dyDescent="0.25">
      <c r="B41" s="16">
        <v>21</v>
      </c>
      <c r="C41" s="17" t="s">
        <v>33</v>
      </c>
      <c r="D41" s="18">
        <v>0</v>
      </c>
      <c r="E41" s="18">
        <v>0</v>
      </c>
      <c r="F41" s="18">
        <v>0</v>
      </c>
      <c r="G41" s="18">
        <v>0</v>
      </c>
      <c r="H41" s="18">
        <v>500</v>
      </c>
      <c r="I41" s="18">
        <f t="shared" si="29"/>
        <v>500</v>
      </c>
      <c r="J41" s="18">
        <v>1</v>
      </c>
      <c r="K41" s="19">
        <f t="shared" si="20"/>
        <v>500</v>
      </c>
      <c r="L41" s="20">
        <f t="shared" si="25"/>
        <v>2.6136363636363638</v>
      </c>
      <c r="M41" s="18">
        <v>10</v>
      </c>
      <c r="N41" s="18" t="s">
        <v>21</v>
      </c>
      <c r="O41" s="18" t="s">
        <v>13</v>
      </c>
      <c r="P41" s="18">
        <f t="shared" si="26"/>
        <v>500</v>
      </c>
      <c r="Q41" s="18">
        <f t="shared" si="27"/>
        <v>0</v>
      </c>
      <c r="R41" s="21">
        <f t="shared" si="28"/>
        <v>0</v>
      </c>
    </row>
    <row r="42" spans="2:19" x14ac:dyDescent="0.25">
      <c r="B42" s="16">
        <v>22</v>
      </c>
      <c r="C42" s="17" t="s">
        <v>34</v>
      </c>
      <c r="D42" s="18">
        <v>0</v>
      </c>
      <c r="E42" s="18">
        <v>0</v>
      </c>
      <c r="F42" s="18">
        <v>0</v>
      </c>
      <c r="G42" s="18">
        <v>0</v>
      </c>
      <c r="H42" s="18">
        <v>800</v>
      </c>
      <c r="I42" s="18">
        <f t="shared" si="29"/>
        <v>800</v>
      </c>
      <c r="J42" s="18">
        <v>1</v>
      </c>
      <c r="K42" s="19">
        <f t="shared" si="20"/>
        <v>800</v>
      </c>
      <c r="L42" s="20">
        <f t="shared" si="25"/>
        <v>4.1818181818181817</v>
      </c>
      <c r="M42" s="18">
        <v>10</v>
      </c>
      <c r="N42" s="18" t="s">
        <v>21</v>
      </c>
      <c r="O42" s="18" t="s">
        <v>13</v>
      </c>
      <c r="P42" s="18">
        <f t="shared" si="26"/>
        <v>800</v>
      </c>
      <c r="Q42" s="18">
        <f t="shared" si="27"/>
        <v>0</v>
      </c>
      <c r="R42" s="21">
        <f t="shared" si="28"/>
        <v>0</v>
      </c>
    </row>
    <row r="43" spans="2:19" x14ac:dyDescent="0.25">
      <c r="B43" s="16"/>
      <c r="C43" s="17" t="s">
        <v>3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21"/>
    </row>
    <row r="44" spans="2:19" x14ac:dyDescent="0.25">
      <c r="B44" s="16"/>
      <c r="C44" s="17" t="s">
        <v>3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21"/>
    </row>
    <row r="45" spans="2:19" x14ac:dyDescent="0.25">
      <c r="B45" s="16"/>
      <c r="C45" s="17" t="s">
        <v>3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21"/>
    </row>
    <row r="46" spans="2:19" x14ac:dyDescent="0.25">
      <c r="B46" s="22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23"/>
    </row>
    <row r="47" spans="2:19" x14ac:dyDescent="0.25">
      <c r="B47" s="22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23"/>
    </row>
    <row r="48" spans="2:19" x14ac:dyDescent="0.25">
      <c r="B48" s="24"/>
      <c r="C48" s="25"/>
      <c r="D48" s="26"/>
      <c r="E48" s="26"/>
      <c r="F48" s="26"/>
      <c r="G48" s="27" t="s">
        <v>37</v>
      </c>
      <c r="H48" s="27"/>
      <c r="I48" s="27"/>
      <c r="J48" s="27"/>
      <c r="K48" s="28">
        <f>(SUM(K9,K10,K11,K20,K27,K35)*0.1)+(SUM(K7,K8,K19,K26,K34)*0.8)+(SUM(K12,K13,K21,K28,K36:K42))</f>
        <v>15002</v>
      </c>
      <c r="L48" s="29">
        <f>K48/220</f>
        <v>68.190909090909088</v>
      </c>
      <c r="M48" s="30">
        <v>70</v>
      </c>
      <c r="N48" s="26" t="s">
        <v>41</v>
      </c>
      <c r="O48" s="26" t="s">
        <v>22</v>
      </c>
      <c r="P48" s="26">
        <f>SUM(P7:P42)</f>
        <v>8900</v>
      </c>
      <c r="Q48" s="26">
        <f>SUM(Q7:Q42)</f>
        <v>7520</v>
      </c>
      <c r="R48" s="31">
        <f>SUM(R7:R42)</f>
        <v>7220</v>
      </c>
      <c r="S48" s="1"/>
    </row>
  </sheetData>
  <mergeCells count="11">
    <mergeCell ref="G48:J48"/>
    <mergeCell ref="B2:R2"/>
    <mergeCell ref="B48:C48"/>
    <mergeCell ref="D3:E3"/>
    <mergeCell ref="F3:G3"/>
    <mergeCell ref="B3:B4"/>
    <mergeCell ref="C3:C4"/>
    <mergeCell ref="B18:H18"/>
    <mergeCell ref="B6:H6"/>
    <mergeCell ref="B25:H25"/>
    <mergeCell ref="B33:H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QUADRO DE CARGAS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2019-07-02T21:17:59Z</dcterms:modified>
</cp:coreProperties>
</file>