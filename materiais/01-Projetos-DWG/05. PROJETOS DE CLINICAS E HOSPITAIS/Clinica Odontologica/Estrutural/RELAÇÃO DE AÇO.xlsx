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lação de aço" sheetId="1" r:id="rId1"/>
  </sheets>
  <calcPr calcId="152511"/>
</workbook>
</file>

<file path=xl/calcChain.xml><?xml version="1.0" encoding="utf-8"?>
<calcChain xmlns="http://schemas.openxmlformats.org/spreadsheetml/2006/main">
  <c r="E54" i="1" l="1"/>
  <c r="I39" i="1"/>
  <c r="E56" i="1"/>
  <c r="H56" i="1" s="1"/>
  <c r="H35" i="1"/>
  <c r="I35" i="1" s="1"/>
  <c r="H34" i="1"/>
  <c r="I34" i="1" s="1"/>
  <c r="H33" i="1"/>
  <c r="I33" i="1" s="1"/>
  <c r="I32" i="1"/>
  <c r="H32" i="1"/>
  <c r="H31" i="1"/>
  <c r="I31" i="1" s="1"/>
  <c r="I30" i="1"/>
  <c r="H30" i="1"/>
  <c r="H29" i="1"/>
  <c r="I29" i="1" s="1"/>
  <c r="H28" i="1"/>
  <c r="I28" i="1" s="1"/>
  <c r="H27" i="1"/>
  <c r="I27" i="1" s="1"/>
  <c r="E55" i="1" l="1"/>
  <c r="H8" i="1"/>
  <c r="I8" i="1" s="1"/>
  <c r="H7" i="1"/>
  <c r="I7" i="1" s="1"/>
  <c r="H6" i="1"/>
  <c r="I6" i="1" s="1"/>
  <c r="H40" i="1" l="1"/>
  <c r="I40" i="1" s="1"/>
  <c r="H50" i="1" l="1"/>
  <c r="I50" i="1" s="1"/>
  <c r="H49" i="1"/>
  <c r="I49" i="1" s="1"/>
  <c r="H48" i="1"/>
  <c r="I48" i="1" s="1"/>
  <c r="H47" i="1"/>
  <c r="I47" i="1" s="1"/>
  <c r="H46" i="1"/>
  <c r="I46" i="1" s="1"/>
  <c r="H45" i="1"/>
  <c r="H39" i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H19" i="1"/>
  <c r="I19" i="1" s="1"/>
  <c r="H18" i="1"/>
  <c r="I18" i="1" s="1"/>
  <c r="H17" i="1"/>
  <c r="I17" i="1" s="1"/>
  <c r="H15" i="1"/>
  <c r="I15" i="1" s="1"/>
  <c r="H16" i="1"/>
  <c r="I16" i="1" s="1"/>
  <c r="H12" i="1"/>
  <c r="I12" i="1" s="1"/>
  <c r="H13" i="1"/>
  <c r="I13" i="1" s="1"/>
  <c r="F14" i="1"/>
  <c r="H14" i="1" s="1"/>
  <c r="I14" i="1" s="1"/>
  <c r="I20" i="1" l="1"/>
  <c r="I45" i="1"/>
  <c r="H9" i="1"/>
  <c r="I9" i="1" s="1"/>
  <c r="H10" i="1"/>
  <c r="I10" i="1" s="1"/>
  <c r="H11" i="1"/>
  <c r="I11" i="1" s="1"/>
  <c r="H4" i="1"/>
  <c r="I4" i="1" s="1"/>
  <c r="H5" i="1"/>
  <c r="H3" i="1"/>
  <c r="H54" i="1" l="1"/>
  <c r="H55" i="1"/>
  <c r="I5" i="1"/>
  <c r="I3" i="1"/>
</calcChain>
</file>

<file path=xl/sharedStrings.xml><?xml version="1.0" encoding="utf-8"?>
<sst xmlns="http://schemas.openxmlformats.org/spreadsheetml/2006/main" count="122" uniqueCount="36">
  <si>
    <t>AÇO</t>
  </si>
  <si>
    <t>N</t>
  </si>
  <si>
    <t>DIAMETRO (MM)</t>
  </si>
  <si>
    <t>QUANTIDADE (VIGAS)</t>
  </si>
  <si>
    <t>QUANTIDADE (BARRAS)</t>
  </si>
  <si>
    <t>COMPRIMENTO(CM)</t>
  </si>
  <si>
    <t>COMPRIMENTO TOTAL(CM)</t>
  </si>
  <si>
    <t>CA50</t>
  </si>
  <si>
    <t>PESO</t>
  </si>
  <si>
    <t>VIGA</t>
  </si>
  <si>
    <t>V17</t>
  </si>
  <si>
    <t>RELAÇÃO DE AÇO - PILARES</t>
  </si>
  <si>
    <t>QUANTIDADE (PILARES)</t>
  </si>
  <si>
    <t>RELAÇÃO DE AÇO - SAPATAS</t>
  </si>
  <si>
    <t>QUANTIDADE (SAPATAS)</t>
  </si>
  <si>
    <t>RESUMO DO AÇO</t>
  </si>
  <si>
    <t>PESO(Kg/m)</t>
  </si>
  <si>
    <t>PESO TOTAL(KG)</t>
  </si>
  <si>
    <t>PILAR</t>
  </si>
  <si>
    <t>ESTRIBOS</t>
  </si>
  <si>
    <t>-</t>
  </si>
  <si>
    <t>V08</t>
  </si>
  <si>
    <t>V5</t>
  </si>
  <si>
    <t>P1 A P18</t>
  </si>
  <si>
    <t>SM1 A SM03</t>
  </si>
  <si>
    <t>SM14 A SM18</t>
  </si>
  <si>
    <t>SM4 A SM13</t>
  </si>
  <si>
    <t xml:space="preserve">V1 </t>
  </si>
  <si>
    <t>V2</t>
  </si>
  <si>
    <t>V6 E V7</t>
  </si>
  <si>
    <t>V9 E V10</t>
  </si>
  <si>
    <t>V11</t>
  </si>
  <si>
    <t>V12</t>
  </si>
  <si>
    <t>V3 E V4</t>
  </si>
  <si>
    <t>V13</t>
  </si>
  <si>
    <t>RELAÇÃO DE AÇO - VIGAS INFERIOR 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</si>
</sst>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A29" zoomScale="70" zoomScaleNormal="70" workbookViewId="0">
      <selection activeCell="K44" sqref="K44"/>
    </sheetView>
  </sheetViews>
  <sheetFormatPr defaultRowHeight="15" x14ac:dyDescent="0.25"/>
  <cols>
    <col min="1" max="1" width="12.85546875" bestFit="1" customWidth="1"/>
    <col min="2" max="2" width="18.7109375" customWidth="1"/>
    <col min="3" max="3" width="7.5703125" customWidth="1"/>
    <col min="4" max="4" width="20" bestFit="1" customWidth="1"/>
    <col min="5" max="6" width="17.140625" bestFit="1" customWidth="1"/>
    <col min="7" max="7" width="18.7109375" customWidth="1"/>
    <col min="8" max="8" width="19.28515625" bestFit="1" customWidth="1"/>
    <col min="9" max="9" width="13.42578125" bestFit="1" customWidth="1"/>
    <col min="10" max="10" width="17.28515625" bestFit="1" customWidth="1"/>
    <col min="11" max="11" width="14.28515625" bestFit="1" customWidth="1"/>
    <col min="12" max="12" width="16.7109375" bestFit="1" customWidth="1"/>
    <col min="13" max="13" width="15" bestFit="1" customWidth="1"/>
    <col min="14" max="14" width="18.7109375" bestFit="1" customWidth="1"/>
    <col min="15" max="15" width="9.5703125" bestFit="1" customWidth="1"/>
    <col min="16" max="16" width="7.85546875" bestFit="1" customWidth="1"/>
    <col min="17" max="18" width="8.85546875" bestFit="1" customWidth="1"/>
    <col min="19" max="19" width="4.28515625" bestFit="1" customWidth="1"/>
  </cols>
  <sheetData>
    <row r="1" spans="1:9" x14ac:dyDescent="0.25">
      <c r="A1" s="18" t="s">
        <v>35</v>
      </c>
      <c r="B1" s="18"/>
      <c r="C1" s="18"/>
      <c r="D1" s="18"/>
      <c r="E1" s="18"/>
      <c r="F1" s="18"/>
      <c r="G1" s="18"/>
      <c r="H1" s="18"/>
      <c r="I1" s="18"/>
    </row>
    <row r="2" spans="1:9" ht="37.5" customHeight="1" x14ac:dyDescent="0.25">
      <c r="A2" s="2" t="s">
        <v>0</v>
      </c>
      <c r="B2" s="2" t="s">
        <v>9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8</v>
      </c>
    </row>
    <row r="3" spans="1:9" x14ac:dyDescent="0.25">
      <c r="A3" s="4" t="s">
        <v>7</v>
      </c>
      <c r="B3" s="4" t="s">
        <v>27</v>
      </c>
      <c r="C3" s="4">
        <v>1</v>
      </c>
      <c r="D3" s="4">
        <v>10</v>
      </c>
      <c r="E3" s="4">
        <v>2</v>
      </c>
      <c r="F3" s="4">
        <v>2</v>
      </c>
      <c r="G3" s="4">
        <v>894</v>
      </c>
      <c r="H3" s="4">
        <f>E3*F3*G3</f>
        <v>3576</v>
      </c>
      <c r="I3" s="5">
        <f>IF(D3=10,H3/100*0.617,H3/100*0.245)</f>
        <v>22.06392</v>
      </c>
    </row>
    <row r="4" spans="1:9" x14ac:dyDescent="0.25">
      <c r="A4" s="4" t="s">
        <v>7</v>
      </c>
      <c r="B4" s="4" t="s">
        <v>27</v>
      </c>
      <c r="C4" s="4">
        <v>2</v>
      </c>
      <c r="D4" s="4">
        <v>10</v>
      </c>
      <c r="E4" s="4">
        <v>2</v>
      </c>
      <c r="F4" s="4">
        <v>2</v>
      </c>
      <c r="G4" s="4">
        <v>894</v>
      </c>
      <c r="H4" s="4">
        <f t="shared" ref="H4:H26" si="0">E4*F4*G4</f>
        <v>3576</v>
      </c>
      <c r="I4" s="5">
        <f t="shared" ref="I4:I26" si="1">IF(D4=10,H4/100*0.617,H4/100*0.245)</f>
        <v>22.06392</v>
      </c>
    </row>
    <row r="5" spans="1:9" x14ac:dyDescent="0.25">
      <c r="A5" s="4" t="s">
        <v>7</v>
      </c>
      <c r="B5" s="4" t="s">
        <v>27</v>
      </c>
      <c r="C5" s="4">
        <v>3</v>
      </c>
      <c r="D5" s="4">
        <v>6.3</v>
      </c>
      <c r="E5" s="4">
        <v>2</v>
      </c>
      <c r="F5" s="4">
        <v>44</v>
      </c>
      <c r="G5" s="4">
        <v>75</v>
      </c>
      <c r="H5" s="4">
        <f t="shared" si="0"/>
        <v>6600</v>
      </c>
      <c r="I5" s="5">
        <f t="shared" si="1"/>
        <v>16.169999999999998</v>
      </c>
    </row>
    <row r="6" spans="1:9" x14ac:dyDescent="0.25">
      <c r="A6" s="4" t="s">
        <v>7</v>
      </c>
      <c r="B6" s="4" t="s">
        <v>28</v>
      </c>
      <c r="C6" s="4">
        <v>1</v>
      </c>
      <c r="D6" s="4">
        <v>10</v>
      </c>
      <c r="E6" s="4">
        <v>2</v>
      </c>
      <c r="F6" s="4">
        <v>2</v>
      </c>
      <c r="G6" s="4">
        <v>1690</v>
      </c>
      <c r="H6" s="4">
        <f>E6*F6*G6</f>
        <v>6760</v>
      </c>
      <c r="I6" s="5">
        <f>IF(D6=10,H6/100*0.617,H6/100*0.245)</f>
        <v>41.709199999999996</v>
      </c>
    </row>
    <row r="7" spans="1:9" x14ac:dyDescent="0.25">
      <c r="A7" s="4" t="s">
        <v>7</v>
      </c>
      <c r="B7" s="4" t="s">
        <v>28</v>
      </c>
      <c r="C7" s="4">
        <v>2</v>
      </c>
      <c r="D7" s="4">
        <v>10</v>
      </c>
      <c r="E7" s="4">
        <v>2</v>
      </c>
      <c r="F7" s="4">
        <v>2</v>
      </c>
      <c r="G7" s="4">
        <v>1690</v>
      </c>
      <c r="H7" s="4">
        <f t="shared" ref="H7:H8" si="2">E7*F7*G7</f>
        <v>6760</v>
      </c>
      <c r="I7" s="5">
        <f t="shared" ref="I7:I8" si="3">IF(D7=10,H7/100*0.617,H7/100*0.245)</f>
        <v>41.709199999999996</v>
      </c>
    </row>
    <row r="8" spans="1:9" x14ac:dyDescent="0.25">
      <c r="A8" s="4" t="s">
        <v>7</v>
      </c>
      <c r="B8" s="4" t="s">
        <v>28</v>
      </c>
      <c r="C8" s="4">
        <v>3</v>
      </c>
      <c r="D8" s="4">
        <v>6.3</v>
      </c>
      <c r="E8" s="4">
        <v>2</v>
      </c>
      <c r="F8" s="4">
        <v>83</v>
      </c>
      <c r="G8" s="4">
        <v>75</v>
      </c>
      <c r="H8" s="4">
        <f t="shared" si="2"/>
        <v>12450</v>
      </c>
      <c r="I8" s="5">
        <f t="shared" si="3"/>
        <v>30.502499999999998</v>
      </c>
    </row>
    <row r="9" spans="1:9" x14ac:dyDescent="0.25">
      <c r="A9" s="4" t="s">
        <v>7</v>
      </c>
      <c r="B9" s="4" t="s">
        <v>22</v>
      </c>
      <c r="C9" s="4">
        <v>4</v>
      </c>
      <c r="D9" s="4">
        <v>10</v>
      </c>
      <c r="E9" s="4">
        <v>2</v>
      </c>
      <c r="F9" s="4">
        <v>2</v>
      </c>
      <c r="G9" s="4">
        <v>1809</v>
      </c>
      <c r="H9" s="4">
        <f t="shared" si="0"/>
        <v>7236</v>
      </c>
      <c r="I9" s="5">
        <f t="shared" si="1"/>
        <v>44.646119999999996</v>
      </c>
    </row>
    <row r="10" spans="1:9" x14ac:dyDescent="0.25">
      <c r="A10" s="4" t="s">
        <v>7</v>
      </c>
      <c r="B10" s="4" t="s">
        <v>22</v>
      </c>
      <c r="C10" s="4">
        <v>5</v>
      </c>
      <c r="D10" s="4">
        <v>10</v>
      </c>
      <c r="E10" s="4">
        <v>2</v>
      </c>
      <c r="F10" s="4">
        <v>2</v>
      </c>
      <c r="G10" s="4">
        <v>1809</v>
      </c>
      <c r="H10" s="4">
        <f t="shared" si="0"/>
        <v>7236</v>
      </c>
      <c r="I10" s="5">
        <f t="shared" si="1"/>
        <v>44.646119999999996</v>
      </c>
    </row>
    <row r="11" spans="1:9" x14ac:dyDescent="0.25">
      <c r="A11" s="4" t="s">
        <v>7</v>
      </c>
      <c r="B11" s="4" t="s">
        <v>22</v>
      </c>
      <c r="C11" s="4">
        <v>6</v>
      </c>
      <c r="D11" s="4">
        <v>6.3</v>
      </c>
      <c r="E11" s="4">
        <v>2</v>
      </c>
      <c r="F11" s="4">
        <v>90</v>
      </c>
      <c r="G11" s="4">
        <v>75</v>
      </c>
      <c r="H11" s="4">
        <f t="shared" si="0"/>
        <v>13500</v>
      </c>
      <c r="I11" s="5">
        <f t="shared" si="1"/>
        <v>33.075000000000003</v>
      </c>
    </row>
    <row r="12" spans="1:9" x14ac:dyDescent="0.25">
      <c r="A12" s="4" t="s">
        <v>7</v>
      </c>
      <c r="B12" s="4" t="s">
        <v>29</v>
      </c>
      <c r="C12" s="4">
        <v>7</v>
      </c>
      <c r="D12" s="4">
        <v>10</v>
      </c>
      <c r="E12" s="4">
        <v>4</v>
      </c>
      <c r="F12" s="4">
        <v>2</v>
      </c>
      <c r="G12" s="4">
        <v>1091</v>
      </c>
      <c r="H12" s="4">
        <f t="shared" si="0"/>
        <v>8728</v>
      </c>
      <c r="I12" s="5">
        <f t="shared" si="1"/>
        <v>53.851759999999999</v>
      </c>
    </row>
    <row r="13" spans="1:9" x14ac:dyDescent="0.25">
      <c r="A13" s="4" t="s">
        <v>7</v>
      </c>
      <c r="B13" s="4" t="s">
        <v>29</v>
      </c>
      <c r="C13" s="4">
        <v>8</v>
      </c>
      <c r="D13" s="4">
        <v>10</v>
      </c>
      <c r="E13" s="4">
        <v>4</v>
      </c>
      <c r="F13" s="4">
        <v>2</v>
      </c>
      <c r="G13" s="4">
        <v>1091</v>
      </c>
      <c r="H13" s="4">
        <f t="shared" si="0"/>
        <v>8728</v>
      </c>
      <c r="I13" s="5">
        <f t="shared" si="1"/>
        <v>53.851759999999999</v>
      </c>
    </row>
    <row r="14" spans="1:9" x14ac:dyDescent="0.25">
      <c r="A14" s="4" t="s">
        <v>7</v>
      </c>
      <c r="B14" s="4" t="s">
        <v>29</v>
      </c>
      <c r="C14" s="4">
        <v>9</v>
      </c>
      <c r="D14" s="4">
        <v>6.3</v>
      </c>
      <c r="E14" s="4">
        <v>4</v>
      </c>
      <c r="F14" s="4">
        <f>ROUND((G12-34)/20,0)</f>
        <v>53</v>
      </c>
      <c r="G14" s="4">
        <v>75</v>
      </c>
      <c r="H14" s="4">
        <f t="shared" si="0"/>
        <v>15900</v>
      </c>
      <c r="I14" s="5">
        <f t="shared" si="1"/>
        <v>38.954999999999998</v>
      </c>
    </row>
    <row r="15" spans="1:9" x14ac:dyDescent="0.25">
      <c r="A15" s="4" t="s">
        <v>7</v>
      </c>
      <c r="B15" s="4" t="s">
        <v>30</v>
      </c>
      <c r="C15" s="4">
        <v>10</v>
      </c>
      <c r="D15" s="4">
        <v>10</v>
      </c>
      <c r="E15" s="4">
        <v>4</v>
      </c>
      <c r="F15" s="4">
        <v>2</v>
      </c>
      <c r="G15" s="4">
        <v>739</v>
      </c>
      <c r="H15" s="4">
        <f t="shared" si="0"/>
        <v>5912</v>
      </c>
      <c r="I15" s="5">
        <f t="shared" si="1"/>
        <v>36.477039999999995</v>
      </c>
    </row>
    <row r="16" spans="1:9" x14ac:dyDescent="0.25">
      <c r="A16" s="4" t="s">
        <v>7</v>
      </c>
      <c r="B16" s="4" t="s">
        <v>30</v>
      </c>
      <c r="C16" s="4">
        <v>11</v>
      </c>
      <c r="D16" s="4">
        <v>10</v>
      </c>
      <c r="E16" s="4">
        <v>4</v>
      </c>
      <c r="F16" s="4">
        <v>2</v>
      </c>
      <c r="G16" s="4">
        <v>739</v>
      </c>
      <c r="H16" s="4">
        <f t="shared" si="0"/>
        <v>5912</v>
      </c>
      <c r="I16" s="5">
        <f t="shared" si="1"/>
        <v>36.477039999999995</v>
      </c>
    </row>
    <row r="17" spans="1:9" x14ac:dyDescent="0.25">
      <c r="A17" s="4" t="s">
        <v>7</v>
      </c>
      <c r="B17" s="4" t="s">
        <v>30</v>
      </c>
      <c r="C17" s="4">
        <v>12</v>
      </c>
      <c r="D17" s="4">
        <v>6.3</v>
      </c>
      <c r="E17" s="4">
        <v>4</v>
      </c>
      <c r="F17" s="4">
        <v>36</v>
      </c>
      <c r="G17" s="4">
        <v>75</v>
      </c>
      <c r="H17" s="4">
        <f t="shared" si="0"/>
        <v>10800</v>
      </c>
      <c r="I17" s="5">
        <f t="shared" si="1"/>
        <v>26.46</v>
      </c>
    </row>
    <row r="18" spans="1:9" x14ac:dyDescent="0.25">
      <c r="A18" s="4" t="s">
        <v>7</v>
      </c>
      <c r="B18" s="4" t="s">
        <v>21</v>
      </c>
      <c r="C18" s="4">
        <v>13</v>
      </c>
      <c r="D18" s="4">
        <v>10</v>
      </c>
      <c r="E18" s="4">
        <v>2</v>
      </c>
      <c r="F18" s="4">
        <v>2</v>
      </c>
      <c r="G18" s="4">
        <v>447</v>
      </c>
      <c r="H18" s="4">
        <f t="shared" si="0"/>
        <v>1788</v>
      </c>
      <c r="I18" s="5">
        <f t="shared" si="1"/>
        <v>11.03196</v>
      </c>
    </row>
    <row r="19" spans="1:9" x14ac:dyDescent="0.25">
      <c r="A19" s="4" t="s">
        <v>7</v>
      </c>
      <c r="B19" s="4" t="s">
        <v>21</v>
      </c>
      <c r="C19" s="4">
        <v>14</v>
      </c>
      <c r="D19" s="4">
        <v>10</v>
      </c>
      <c r="E19" s="4">
        <v>2</v>
      </c>
      <c r="F19" s="4">
        <v>2</v>
      </c>
      <c r="G19" s="4">
        <v>447</v>
      </c>
      <c r="H19" s="4">
        <f t="shared" si="0"/>
        <v>1788</v>
      </c>
      <c r="I19" s="5">
        <f t="shared" si="1"/>
        <v>11.03196</v>
      </c>
    </row>
    <row r="20" spans="1:9" x14ac:dyDescent="0.25">
      <c r="A20" s="4" t="s">
        <v>7</v>
      </c>
      <c r="B20" s="4" t="s">
        <v>21</v>
      </c>
      <c r="C20" s="4">
        <v>15</v>
      </c>
      <c r="D20" s="4">
        <v>6.3</v>
      </c>
      <c r="E20" s="4">
        <v>2</v>
      </c>
      <c r="F20" s="4">
        <v>22</v>
      </c>
      <c r="G20" s="4">
        <v>75</v>
      </c>
      <c r="H20" s="4">
        <f t="shared" si="0"/>
        <v>3300</v>
      </c>
      <c r="I20" s="5">
        <f t="shared" si="1"/>
        <v>8.0849999999999991</v>
      </c>
    </row>
    <row r="21" spans="1:9" x14ac:dyDescent="0.25">
      <c r="A21" s="4" t="s">
        <v>7</v>
      </c>
      <c r="B21" s="4" t="s">
        <v>31</v>
      </c>
      <c r="C21" s="4">
        <v>16</v>
      </c>
      <c r="D21" s="4">
        <v>10</v>
      </c>
      <c r="E21" s="4">
        <v>5</v>
      </c>
      <c r="F21" s="4">
        <v>2</v>
      </c>
      <c r="G21" s="4">
        <v>217</v>
      </c>
      <c r="H21" s="4">
        <f t="shared" si="0"/>
        <v>2170</v>
      </c>
      <c r="I21" s="5">
        <f t="shared" si="1"/>
        <v>13.3889</v>
      </c>
    </row>
    <row r="22" spans="1:9" x14ac:dyDescent="0.25">
      <c r="A22" s="4" t="s">
        <v>7</v>
      </c>
      <c r="B22" s="4" t="s">
        <v>31</v>
      </c>
      <c r="C22" s="4">
        <v>17</v>
      </c>
      <c r="D22" s="4">
        <v>10</v>
      </c>
      <c r="E22" s="4">
        <v>5</v>
      </c>
      <c r="F22" s="4">
        <v>2</v>
      </c>
      <c r="G22" s="4">
        <v>217</v>
      </c>
      <c r="H22" s="4">
        <f t="shared" si="0"/>
        <v>2170</v>
      </c>
      <c r="I22" s="5">
        <f t="shared" si="1"/>
        <v>13.3889</v>
      </c>
    </row>
    <row r="23" spans="1:9" x14ac:dyDescent="0.25">
      <c r="A23" s="4" t="s">
        <v>7</v>
      </c>
      <c r="B23" s="4" t="s">
        <v>31</v>
      </c>
      <c r="C23" s="4">
        <v>18</v>
      </c>
      <c r="D23" s="4">
        <v>6.3</v>
      </c>
      <c r="E23" s="4">
        <v>5</v>
      </c>
      <c r="F23" s="4">
        <v>20</v>
      </c>
      <c r="G23" s="4">
        <v>75</v>
      </c>
      <c r="H23" s="4">
        <f t="shared" si="0"/>
        <v>7500</v>
      </c>
      <c r="I23" s="5">
        <f t="shared" si="1"/>
        <v>18.375</v>
      </c>
    </row>
    <row r="24" spans="1:9" x14ac:dyDescent="0.25">
      <c r="A24" s="4" t="s">
        <v>7</v>
      </c>
      <c r="B24" s="4" t="s">
        <v>32</v>
      </c>
      <c r="C24" s="4">
        <v>19</v>
      </c>
      <c r="D24" s="4">
        <v>10</v>
      </c>
      <c r="E24" s="4">
        <v>2</v>
      </c>
      <c r="F24" s="4">
        <v>2</v>
      </c>
      <c r="G24" s="4">
        <v>401</v>
      </c>
      <c r="H24" s="4">
        <f t="shared" si="0"/>
        <v>1604</v>
      </c>
      <c r="I24" s="5">
        <f t="shared" si="1"/>
        <v>9.8966799999999999</v>
      </c>
    </row>
    <row r="25" spans="1:9" x14ac:dyDescent="0.25">
      <c r="A25" s="4" t="s">
        <v>7</v>
      </c>
      <c r="B25" s="4" t="s">
        <v>32</v>
      </c>
      <c r="C25" s="4">
        <v>20</v>
      </c>
      <c r="D25" s="4">
        <v>10</v>
      </c>
      <c r="E25" s="4">
        <v>2</v>
      </c>
      <c r="F25" s="4">
        <v>2</v>
      </c>
      <c r="G25" s="4">
        <v>401</v>
      </c>
      <c r="H25" s="4">
        <f t="shared" si="0"/>
        <v>1604</v>
      </c>
      <c r="I25" s="5">
        <f t="shared" si="1"/>
        <v>9.8966799999999999</v>
      </c>
    </row>
    <row r="26" spans="1:9" x14ac:dyDescent="0.25">
      <c r="A26" s="4" t="s">
        <v>7</v>
      </c>
      <c r="B26" s="4" t="s">
        <v>32</v>
      </c>
      <c r="C26" s="4">
        <v>21</v>
      </c>
      <c r="D26" s="4">
        <v>6.3</v>
      </c>
      <c r="E26" s="4">
        <v>2</v>
      </c>
      <c r="F26" s="4">
        <v>20</v>
      </c>
      <c r="G26" s="4">
        <v>75</v>
      </c>
      <c r="H26" s="4">
        <f t="shared" si="0"/>
        <v>3000</v>
      </c>
      <c r="I26" s="5">
        <f t="shared" si="1"/>
        <v>7.35</v>
      </c>
    </row>
    <row r="27" spans="1:9" x14ac:dyDescent="0.25">
      <c r="A27" s="4" t="s">
        <v>7</v>
      </c>
      <c r="B27" s="4" t="s">
        <v>33</v>
      </c>
      <c r="C27" s="4">
        <v>19</v>
      </c>
      <c r="D27" s="4">
        <v>10</v>
      </c>
      <c r="E27" s="4">
        <v>4</v>
      </c>
      <c r="F27" s="4">
        <v>2</v>
      </c>
      <c r="G27" s="4">
        <v>932</v>
      </c>
      <c r="H27" s="4">
        <f t="shared" ref="H27:H29" si="4">E27*F27*G27</f>
        <v>7456</v>
      </c>
      <c r="I27" s="5">
        <f t="shared" ref="I27:I29" si="5">IF(D27=10,H27/100*0.617,H27/100*0.245)</f>
        <v>46.003520000000002</v>
      </c>
    </row>
    <row r="28" spans="1:9" x14ac:dyDescent="0.25">
      <c r="A28" s="4" t="s">
        <v>7</v>
      </c>
      <c r="B28" s="4" t="s">
        <v>33</v>
      </c>
      <c r="C28" s="4">
        <v>20</v>
      </c>
      <c r="D28" s="4">
        <v>10</v>
      </c>
      <c r="E28" s="4">
        <v>4</v>
      </c>
      <c r="F28" s="4">
        <v>2</v>
      </c>
      <c r="G28" s="4">
        <v>932</v>
      </c>
      <c r="H28" s="4">
        <f t="shared" si="4"/>
        <v>7456</v>
      </c>
      <c r="I28" s="5">
        <f t="shared" si="5"/>
        <v>46.003520000000002</v>
      </c>
    </row>
    <row r="29" spans="1:9" x14ac:dyDescent="0.25">
      <c r="A29" s="4" t="s">
        <v>7</v>
      </c>
      <c r="B29" s="4" t="s">
        <v>33</v>
      </c>
      <c r="C29" s="4">
        <v>21</v>
      </c>
      <c r="D29" s="4">
        <v>6.3</v>
      </c>
      <c r="E29" s="4">
        <v>4</v>
      </c>
      <c r="F29" s="4">
        <v>45</v>
      </c>
      <c r="G29" s="4">
        <v>75</v>
      </c>
      <c r="H29" s="4">
        <f t="shared" si="4"/>
        <v>13500</v>
      </c>
      <c r="I29" s="5">
        <f t="shared" si="5"/>
        <v>33.075000000000003</v>
      </c>
    </row>
    <row r="30" spans="1:9" x14ac:dyDescent="0.25">
      <c r="A30" s="4" t="s">
        <v>7</v>
      </c>
      <c r="B30" s="4" t="s">
        <v>34</v>
      </c>
      <c r="C30" s="4">
        <v>19</v>
      </c>
      <c r="D30" s="4">
        <v>10</v>
      </c>
      <c r="E30" s="4">
        <v>2</v>
      </c>
      <c r="F30" s="4">
        <v>2</v>
      </c>
      <c r="G30" s="4">
        <v>449</v>
      </c>
      <c r="H30" s="4">
        <f t="shared" ref="H30:H32" si="6">E30*F30*G30</f>
        <v>1796</v>
      </c>
      <c r="I30" s="5">
        <f t="shared" ref="I30:I32" si="7">IF(D30=10,H30/100*0.617,H30/100*0.245)</f>
        <v>11.08132</v>
      </c>
    </row>
    <row r="31" spans="1:9" x14ac:dyDescent="0.25">
      <c r="A31" s="4" t="s">
        <v>7</v>
      </c>
      <c r="B31" s="4" t="s">
        <v>34</v>
      </c>
      <c r="C31" s="4">
        <v>20</v>
      </c>
      <c r="D31" s="4">
        <v>10</v>
      </c>
      <c r="E31" s="4">
        <v>2</v>
      </c>
      <c r="F31" s="4">
        <v>2</v>
      </c>
      <c r="G31" s="4">
        <v>449</v>
      </c>
      <c r="H31" s="4">
        <f t="shared" si="6"/>
        <v>1796</v>
      </c>
      <c r="I31" s="5">
        <f t="shared" si="7"/>
        <v>11.08132</v>
      </c>
    </row>
    <row r="32" spans="1:9" x14ac:dyDescent="0.25">
      <c r="A32" s="4" t="s">
        <v>7</v>
      </c>
      <c r="B32" s="4" t="s">
        <v>34</v>
      </c>
      <c r="C32" s="4">
        <v>21</v>
      </c>
      <c r="D32" s="4">
        <v>6.3</v>
      </c>
      <c r="E32" s="4">
        <v>2</v>
      </c>
      <c r="F32" s="4">
        <v>22</v>
      </c>
      <c r="G32" s="4">
        <v>75</v>
      </c>
      <c r="H32" s="4">
        <f t="shared" si="6"/>
        <v>3300</v>
      </c>
      <c r="I32" s="5">
        <f t="shared" si="7"/>
        <v>8.0849999999999991</v>
      </c>
    </row>
    <row r="33" spans="1:9" x14ac:dyDescent="0.25">
      <c r="A33" s="4" t="s">
        <v>7</v>
      </c>
      <c r="B33" s="4" t="s">
        <v>10</v>
      </c>
      <c r="C33" s="4">
        <v>19</v>
      </c>
      <c r="D33" s="4">
        <v>10</v>
      </c>
      <c r="E33" s="4">
        <v>1</v>
      </c>
      <c r="F33" s="4">
        <v>2</v>
      </c>
      <c r="G33" s="4">
        <v>207</v>
      </c>
      <c r="H33" s="4">
        <f t="shared" ref="H33:H35" si="8">E33*F33*G33</f>
        <v>414</v>
      </c>
      <c r="I33" s="5">
        <f t="shared" ref="I33:I35" si="9">IF(D33=10,H33/100*0.617,H33/100*0.245)</f>
        <v>2.5543799999999997</v>
      </c>
    </row>
    <row r="34" spans="1:9" x14ac:dyDescent="0.25">
      <c r="A34" s="4" t="s">
        <v>7</v>
      </c>
      <c r="B34" s="4" t="s">
        <v>10</v>
      </c>
      <c r="C34" s="4">
        <v>20</v>
      </c>
      <c r="D34" s="4">
        <v>10</v>
      </c>
      <c r="E34" s="4">
        <v>1</v>
      </c>
      <c r="F34" s="4">
        <v>2</v>
      </c>
      <c r="G34" s="4">
        <v>207</v>
      </c>
      <c r="H34" s="4">
        <f t="shared" si="8"/>
        <v>414</v>
      </c>
      <c r="I34" s="5">
        <f t="shared" si="9"/>
        <v>2.5543799999999997</v>
      </c>
    </row>
    <row r="35" spans="1:9" x14ac:dyDescent="0.25">
      <c r="A35" s="4" t="s">
        <v>7</v>
      </c>
      <c r="B35" s="4" t="s">
        <v>10</v>
      </c>
      <c r="C35" s="4">
        <v>21</v>
      </c>
      <c r="D35" s="4">
        <v>6.3</v>
      </c>
      <c r="E35" s="4">
        <v>1</v>
      </c>
      <c r="F35" s="4">
        <v>10</v>
      </c>
      <c r="G35" s="4">
        <v>75</v>
      </c>
      <c r="H35" s="4">
        <f t="shared" si="8"/>
        <v>750</v>
      </c>
      <c r="I35" s="5">
        <f t="shared" si="9"/>
        <v>1.8374999999999999</v>
      </c>
    </row>
    <row r="37" spans="1:9" x14ac:dyDescent="0.25">
      <c r="A37" s="18" t="s">
        <v>11</v>
      </c>
      <c r="B37" s="18"/>
      <c r="C37" s="18"/>
      <c r="D37" s="18"/>
      <c r="E37" s="18"/>
      <c r="F37" s="18"/>
      <c r="G37" s="18"/>
      <c r="H37" s="18"/>
      <c r="I37" s="18"/>
    </row>
    <row r="38" spans="1:9" ht="30" x14ac:dyDescent="0.25">
      <c r="A38" s="2" t="s">
        <v>0</v>
      </c>
      <c r="B38" s="2" t="s">
        <v>18</v>
      </c>
      <c r="C38" s="2" t="s">
        <v>1</v>
      </c>
      <c r="D38" s="2" t="s">
        <v>2</v>
      </c>
      <c r="E38" s="3" t="s">
        <v>12</v>
      </c>
      <c r="F38" s="3" t="s">
        <v>4</v>
      </c>
      <c r="G38" s="3" t="s">
        <v>5</v>
      </c>
      <c r="H38" s="3" t="s">
        <v>6</v>
      </c>
      <c r="I38" s="3" t="s">
        <v>8</v>
      </c>
    </row>
    <row r="39" spans="1:9" s="10" customFormat="1" x14ac:dyDescent="0.25">
      <c r="A39" s="8" t="s">
        <v>7</v>
      </c>
      <c r="B39" s="8" t="s">
        <v>23</v>
      </c>
      <c r="C39" s="8">
        <v>28</v>
      </c>
      <c r="D39" s="8">
        <v>8</v>
      </c>
      <c r="E39" s="8">
        <v>18</v>
      </c>
      <c r="F39" s="8">
        <v>4</v>
      </c>
      <c r="G39" s="8">
        <v>370</v>
      </c>
      <c r="H39" s="8">
        <f>E39*F39*G39</f>
        <v>26640</v>
      </c>
      <c r="I39" s="9">
        <f>H39*G56/100</f>
        <v>105.22800000000001</v>
      </c>
    </row>
    <row r="40" spans="1:9" s="10" customFormat="1" x14ac:dyDescent="0.25">
      <c r="A40" s="8" t="s">
        <v>7</v>
      </c>
      <c r="B40" s="8" t="s">
        <v>19</v>
      </c>
      <c r="C40" s="8" t="s">
        <v>20</v>
      </c>
      <c r="D40" s="8">
        <v>6.3</v>
      </c>
      <c r="E40" s="8">
        <v>18</v>
      </c>
      <c r="F40" s="8">
        <v>19</v>
      </c>
      <c r="G40" s="8">
        <v>55</v>
      </c>
      <c r="H40" s="8">
        <f>E40*F40*G40</f>
        <v>18810</v>
      </c>
      <c r="I40" s="9">
        <f t="shared" ref="I39:I40" si="10">IF(D40=10,H40/100*0.617,H40/100*0.245)</f>
        <v>46.084499999999998</v>
      </c>
    </row>
    <row r="41" spans="1:9" x14ac:dyDescent="0.25">
      <c r="A41" s="6"/>
      <c r="B41" s="6"/>
      <c r="C41" s="6"/>
      <c r="D41" s="6"/>
      <c r="E41" s="6"/>
      <c r="F41" s="6"/>
      <c r="G41" s="6"/>
      <c r="H41" s="6"/>
      <c r="I41" s="7"/>
    </row>
    <row r="43" spans="1:9" x14ac:dyDescent="0.25">
      <c r="A43" s="18" t="s">
        <v>13</v>
      </c>
      <c r="B43" s="18"/>
      <c r="C43" s="18"/>
      <c r="D43" s="18"/>
      <c r="E43" s="18"/>
      <c r="F43" s="18"/>
      <c r="G43" s="18"/>
      <c r="H43" s="18"/>
      <c r="I43" s="18"/>
    </row>
    <row r="44" spans="1:9" ht="30" x14ac:dyDescent="0.25">
      <c r="A44" s="2" t="s">
        <v>0</v>
      </c>
      <c r="B44" s="2" t="s">
        <v>18</v>
      </c>
      <c r="C44" s="2" t="s">
        <v>1</v>
      </c>
      <c r="D44" s="2" t="s">
        <v>2</v>
      </c>
      <c r="E44" s="3" t="s">
        <v>14</v>
      </c>
      <c r="F44" s="3" t="s">
        <v>4</v>
      </c>
      <c r="G44" s="3" t="s">
        <v>5</v>
      </c>
      <c r="H44" s="3" t="s">
        <v>6</v>
      </c>
      <c r="I44" s="3" t="s">
        <v>8</v>
      </c>
    </row>
    <row r="45" spans="1:9" x14ac:dyDescent="0.25">
      <c r="A45" s="4" t="s">
        <v>7</v>
      </c>
      <c r="B45" s="4" t="s">
        <v>24</v>
      </c>
      <c r="C45" s="4">
        <v>22</v>
      </c>
      <c r="D45" s="4">
        <v>10</v>
      </c>
      <c r="E45" s="4">
        <v>3</v>
      </c>
      <c r="F45" s="4">
        <v>7</v>
      </c>
      <c r="G45" s="4">
        <v>55</v>
      </c>
      <c r="H45" s="4">
        <f t="shared" ref="H45:H50" si="11">E45*F45*G45</f>
        <v>1155</v>
      </c>
      <c r="I45" s="5">
        <f t="shared" ref="I45:I50" si="12">IF(D45=10,H45/100*0.617,H45/100*0.245)</f>
        <v>7.1263500000000004</v>
      </c>
    </row>
    <row r="46" spans="1:9" x14ac:dyDescent="0.25">
      <c r="A46" s="4" t="s">
        <v>7</v>
      </c>
      <c r="B46" s="4" t="s">
        <v>24</v>
      </c>
      <c r="C46" s="4">
        <v>23</v>
      </c>
      <c r="D46" s="4">
        <v>10</v>
      </c>
      <c r="E46" s="4">
        <v>3</v>
      </c>
      <c r="F46" s="4">
        <v>6</v>
      </c>
      <c r="G46" s="4">
        <v>75</v>
      </c>
      <c r="H46" s="4">
        <f t="shared" si="11"/>
        <v>1350</v>
      </c>
      <c r="I46" s="5">
        <f t="shared" si="12"/>
        <v>8.3294999999999995</v>
      </c>
    </row>
    <row r="47" spans="1:9" x14ac:dyDescent="0.25">
      <c r="A47" s="4" t="s">
        <v>7</v>
      </c>
      <c r="B47" s="4" t="s">
        <v>25</v>
      </c>
      <c r="C47" s="4">
        <v>24</v>
      </c>
      <c r="D47" s="4">
        <v>10</v>
      </c>
      <c r="E47" s="4">
        <v>5</v>
      </c>
      <c r="F47" s="4">
        <v>7</v>
      </c>
      <c r="G47" s="4">
        <v>55</v>
      </c>
      <c r="H47" s="4">
        <f t="shared" si="11"/>
        <v>1925</v>
      </c>
      <c r="I47" s="5">
        <f t="shared" si="12"/>
        <v>11.87725</v>
      </c>
    </row>
    <row r="48" spans="1:9" x14ac:dyDescent="0.25">
      <c r="A48" s="4" t="s">
        <v>7</v>
      </c>
      <c r="B48" s="4" t="s">
        <v>25</v>
      </c>
      <c r="C48" s="4">
        <v>25</v>
      </c>
      <c r="D48" s="4">
        <v>10</v>
      </c>
      <c r="E48" s="4">
        <v>5</v>
      </c>
      <c r="F48" s="4">
        <v>6</v>
      </c>
      <c r="G48" s="4">
        <v>75</v>
      </c>
      <c r="H48" s="4">
        <f t="shared" si="11"/>
        <v>2250</v>
      </c>
      <c r="I48" s="5">
        <f t="shared" si="12"/>
        <v>13.8825</v>
      </c>
    </row>
    <row r="49" spans="1:10" x14ac:dyDescent="0.25">
      <c r="A49" s="4" t="s">
        <v>7</v>
      </c>
      <c r="B49" s="4" t="s">
        <v>26</v>
      </c>
      <c r="C49" s="4">
        <v>26</v>
      </c>
      <c r="D49" s="4">
        <v>10</v>
      </c>
      <c r="E49" s="4">
        <v>10</v>
      </c>
      <c r="F49" s="4">
        <v>6</v>
      </c>
      <c r="G49" s="4">
        <v>75</v>
      </c>
      <c r="H49" s="4">
        <f t="shared" si="11"/>
        <v>4500</v>
      </c>
      <c r="I49" s="5">
        <f t="shared" si="12"/>
        <v>27.765000000000001</v>
      </c>
    </row>
    <row r="50" spans="1:10" x14ac:dyDescent="0.25">
      <c r="A50" s="4" t="s">
        <v>7</v>
      </c>
      <c r="B50" s="4" t="s">
        <v>26</v>
      </c>
      <c r="C50" s="4">
        <v>27</v>
      </c>
      <c r="D50" s="4">
        <v>10</v>
      </c>
      <c r="E50" s="4">
        <v>10</v>
      </c>
      <c r="F50" s="4">
        <v>6</v>
      </c>
      <c r="G50" s="4">
        <v>75</v>
      </c>
      <c r="H50" s="4">
        <f t="shared" si="11"/>
        <v>4500</v>
      </c>
      <c r="I50" s="5">
        <f t="shared" si="12"/>
        <v>27.765000000000001</v>
      </c>
    </row>
    <row r="52" spans="1:10" x14ac:dyDescent="0.25">
      <c r="A52" s="18" t="s">
        <v>15</v>
      </c>
      <c r="B52" s="18"/>
      <c r="C52" s="18"/>
      <c r="D52" s="18"/>
      <c r="E52" s="18"/>
      <c r="F52" s="18"/>
      <c r="G52" s="18"/>
      <c r="H52" s="18"/>
      <c r="I52" s="18"/>
    </row>
    <row r="53" spans="1:10" ht="30" customHeight="1" x14ac:dyDescent="0.25">
      <c r="A53" s="2" t="s">
        <v>0</v>
      </c>
      <c r="B53" s="19" t="s">
        <v>2</v>
      </c>
      <c r="C53" s="20"/>
      <c r="D53" s="21"/>
      <c r="E53" s="16" t="s">
        <v>6</v>
      </c>
      <c r="F53" s="17"/>
      <c r="G53" s="2" t="s">
        <v>16</v>
      </c>
      <c r="H53" s="16" t="s">
        <v>17</v>
      </c>
      <c r="I53" s="17"/>
    </row>
    <row r="54" spans="1:10" x14ac:dyDescent="0.25">
      <c r="A54" s="4" t="s">
        <v>7</v>
      </c>
      <c r="B54" s="11">
        <v>10</v>
      </c>
      <c r="C54" s="12"/>
      <c r="D54" s="13"/>
      <c r="E54" s="22">
        <f>SUM(H45:H50,H34,H33,H31,H30,H28,H27,H25,H24,H22,H21,H19,H18,H16,H15,H13,H12,H10,H9,H7,H6,H4,H3)</f>
        <v>110560</v>
      </c>
      <c r="F54" s="13"/>
      <c r="G54" s="4">
        <v>0.61699999999999999</v>
      </c>
      <c r="H54" s="14">
        <f>(E54*G54)/100</f>
        <v>682.15520000000004</v>
      </c>
      <c r="I54" s="15"/>
      <c r="J54" s="1"/>
    </row>
    <row r="55" spans="1:10" x14ac:dyDescent="0.25">
      <c r="A55" s="4" t="s">
        <v>7</v>
      </c>
      <c r="B55" s="11">
        <v>6.3</v>
      </c>
      <c r="C55" s="12"/>
      <c r="D55" s="13"/>
      <c r="E55" s="11">
        <f>SUM(H40,H35,H32,H29,H26,H23,H20,H17,H14,H11,H8,H5)</f>
        <v>109410</v>
      </c>
      <c r="F55" s="13"/>
      <c r="G55" s="4">
        <v>0.245</v>
      </c>
      <c r="H55" s="14">
        <f>(E55*G55)/100</f>
        <v>268.05450000000002</v>
      </c>
      <c r="I55" s="15"/>
      <c r="J55" s="1"/>
    </row>
    <row r="56" spans="1:10" x14ac:dyDescent="0.25">
      <c r="A56" s="4" t="s">
        <v>7</v>
      </c>
      <c r="B56" s="11">
        <v>8</v>
      </c>
      <c r="C56" s="12"/>
      <c r="D56" s="13"/>
      <c r="E56" s="11">
        <f>SUM(H39)</f>
        <v>26640</v>
      </c>
      <c r="F56" s="13"/>
      <c r="G56" s="4">
        <v>0.39500000000000002</v>
      </c>
      <c r="H56" s="14">
        <f>(E56*G56)/100</f>
        <v>105.22800000000001</v>
      </c>
      <c r="I56" s="15"/>
      <c r="J56" s="1"/>
    </row>
  </sheetData>
  <mergeCells count="16">
    <mergeCell ref="B56:D56"/>
    <mergeCell ref="E56:F56"/>
    <mergeCell ref="H56:I56"/>
    <mergeCell ref="A1:I1"/>
    <mergeCell ref="A37:I37"/>
    <mergeCell ref="A43:I43"/>
    <mergeCell ref="A52:I52"/>
    <mergeCell ref="B53:D53"/>
    <mergeCell ref="B55:D55"/>
    <mergeCell ref="E55:F55"/>
    <mergeCell ref="H55:I55"/>
    <mergeCell ref="B54:D54"/>
    <mergeCell ref="E53:F53"/>
    <mergeCell ref="E54:F54"/>
    <mergeCell ref="H54:I54"/>
    <mergeCell ref="H53:I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aço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2019-06-01T03:33:59Z</dcterms:modified>
</cp:coreProperties>
</file>