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0490" windowHeight="7755"/>
  </bookViews>
  <sheets>
    <sheet name="Orçamento" sheetId="1" r:id="rId1"/>
    <sheet name="Memorial de Cálculo" sheetId="5" r:id="rId2"/>
    <sheet name="Composições" sheetId="2" r:id="rId3"/>
    <sheet name="Cronograma" sheetId="3" r:id="rId4"/>
    <sheet name="BDI " sheetId="4" r:id="rId5"/>
  </sheets>
  <definedNames>
    <definedName name="_xlnm.Print_Area" localSheetId="4">'BDI '!$A$1:$E$23</definedName>
    <definedName name="_xlnm.Print_Area" localSheetId="2">Composições!$A$1:$G$1597</definedName>
    <definedName name="_xlnm.Print_Area" localSheetId="3">Cronograma!$A$1:$K$39</definedName>
    <definedName name="_xlnm.Print_Area" localSheetId="0">Orçamento!$A$1:$H$137</definedName>
    <definedName name="JR_PAGE_ANCHOR_0_1" localSheetId="4">'BDI '!#REF!</definedName>
    <definedName name="JR_PAGE_ANCHOR_0_1" localSheetId="2">Composições!$A$1</definedName>
    <definedName name="JR_PAGE_ANCHOR_0_1" localSheetId="1">'Memorial de Cálculo'!$A$4</definedName>
    <definedName name="JR_PAGE_ANCHOR_0_1">Orçamento!$A$1</definedName>
    <definedName name="JR_PAGE_ANCHOR_2_1">Cronograma!$A$4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35" i="1" l="1"/>
  <c r="D215" i="5"/>
  <c r="D217" i="5" s="1"/>
  <c r="F71" i="1" l="1"/>
  <c r="G1581" i="2" l="1"/>
  <c r="G1519" i="2"/>
  <c r="G1504" i="2"/>
  <c r="G1488" i="2"/>
  <c r="G1489" i="2" s="1"/>
  <c r="G1483" i="2"/>
  <c r="G1482" i="2"/>
  <c r="G1484" i="2" s="1"/>
  <c r="G1498" i="2"/>
  <c r="G1497" i="2"/>
  <c r="G1499" i="2" s="1"/>
  <c r="G1572" i="2"/>
  <c r="G1571" i="2"/>
  <c r="G1576" i="2"/>
  <c r="G1577" i="2"/>
  <c r="G1578" i="2"/>
  <c r="G1575" i="2"/>
  <c r="G1501" i="2"/>
  <c r="G1502" i="2" s="1"/>
  <c r="G1490" i="2" l="1"/>
  <c r="G1491" i="2" s="1"/>
  <c r="G1492" i="2"/>
  <c r="G1493" i="2" s="1"/>
  <c r="G1573" i="2"/>
  <c r="G1579" i="2"/>
  <c r="G1503" i="2"/>
  <c r="G1505" i="2" s="1"/>
  <c r="G1506" i="2" s="1"/>
  <c r="G1507" i="2" s="1"/>
  <c r="G1580" i="2"/>
  <c r="G1582" i="2" s="1"/>
  <c r="G1583" i="2" s="1"/>
  <c r="G1584" i="2" l="1"/>
  <c r="H134" i="1" l="1"/>
  <c r="H122" i="1"/>
  <c r="H123" i="1"/>
  <c r="H124" i="1"/>
  <c r="H125" i="1"/>
  <c r="H126" i="1"/>
  <c r="H127" i="1"/>
  <c r="H128" i="1"/>
  <c r="H129" i="1"/>
  <c r="H130" i="1"/>
  <c r="H131" i="1"/>
  <c r="H132" i="1"/>
  <c r="H121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06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91" i="1"/>
  <c r="H78" i="1"/>
  <c r="H79" i="1"/>
  <c r="H80" i="1"/>
  <c r="H81" i="1"/>
  <c r="H82" i="1"/>
  <c r="H83" i="1"/>
  <c r="H84" i="1"/>
  <c r="H85" i="1"/>
  <c r="H86" i="1"/>
  <c r="H87" i="1"/>
  <c r="H88" i="1"/>
  <c r="H89" i="1"/>
  <c r="H77" i="1"/>
  <c r="H72" i="1"/>
  <c r="H73" i="1"/>
  <c r="H74" i="1"/>
  <c r="H75" i="1"/>
  <c r="H71" i="1"/>
  <c r="H59" i="1"/>
  <c r="H60" i="1"/>
  <c r="H61" i="1"/>
  <c r="H62" i="1"/>
  <c r="H63" i="1"/>
  <c r="H64" i="1"/>
  <c r="H65" i="1"/>
  <c r="H66" i="1"/>
  <c r="H67" i="1"/>
  <c r="H68" i="1"/>
  <c r="H69" i="1"/>
  <c r="H58" i="1"/>
  <c r="H53" i="1"/>
  <c r="H54" i="1"/>
  <c r="H55" i="1"/>
  <c r="H56" i="1"/>
  <c r="H52" i="1"/>
  <c r="H44" i="1"/>
  <c r="H45" i="1"/>
  <c r="H46" i="1"/>
  <c r="H47" i="1"/>
  <c r="H48" i="1"/>
  <c r="H49" i="1"/>
  <c r="H50" i="1"/>
  <c r="H43" i="1"/>
  <c r="H41" i="1"/>
  <c r="H39" i="1"/>
  <c r="H37" i="1"/>
  <c r="H34" i="1"/>
  <c r="H35" i="1"/>
  <c r="H33" i="1"/>
  <c r="H21" i="1"/>
  <c r="H22" i="1"/>
  <c r="H23" i="1"/>
  <c r="H24" i="1"/>
  <c r="H25" i="1"/>
  <c r="H26" i="1"/>
  <c r="H27" i="1"/>
  <c r="H28" i="1"/>
  <c r="H29" i="1"/>
  <c r="H30" i="1"/>
  <c r="H31" i="1"/>
  <c r="H20" i="1"/>
  <c r="H16" i="1"/>
  <c r="H17" i="1"/>
  <c r="H18" i="1"/>
  <c r="H15" i="1"/>
  <c r="H10" i="1"/>
  <c r="H11" i="1"/>
  <c r="H12" i="1"/>
  <c r="H13" i="1"/>
  <c r="H9" i="1"/>
  <c r="C21" i="4" l="1"/>
  <c r="C23" i="4" s="1"/>
  <c r="H105" i="1" l="1"/>
  <c r="H133" i="1"/>
  <c r="H120" i="1"/>
  <c r="H40" i="1"/>
  <c r="H38" i="1"/>
  <c r="H36" i="1"/>
  <c r="H14" i="1"/>
  <c r="H8" i="1"/>
  <c r="H90" i="1"/>
  <c r="H76" i="1"/>
  <c r="H70" i="1"/>
  <c r="H57" i="1"/>
  <c r="H51" i="1"/>
  <c r="H42" i="1"/>
  <c r="H32" i="1"/>
  <c r="H19" i="1"/>
  <c r="F75" i="1"/>
  <c r="F64" i="1"/>
  <c r="F54" i="1"/>
  <c r="F35" i="1"/>
  <c r="H136" i="1" l="1"/>
  <c r="H137" i="1" s="1"/>
</calcChain>
</file>

<file path=xl/comments1.xml><?xml version="1.0" encoding="utf-8"?>
<comments xmlns="http://schemas.openxmlformats.org/spreadsheetml/2006/main">
  <authors>
    <author>Autor</author>
  </authors>
  <commentList>
    <comment ref="I135" authorId="0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VALORES ANTIGOS
</t>
        </r>
      </text>
    </comment>
  </commentList>
</comments>
</file>

<file path=xl/sharedStrings.xml><?xml version="1.0" encoding="utf-8"?>
<sst xmlns="http://schemas.openxmlformats.org/spreadsheetml/2006/main" count="4928" uniqueCount="1231">
  <si>
    <r>
      <rPr>
        <b/>
        <sz val="8"/>
        <rFont val="Arial"/>
        <family val="2"/>
      </rPr>
      <t xml:space="preserve">
</t>
    </r>
  </si>
  <si>
    <r>
      <rPr>
        <b/>
        <sz val="7"/>
        <rFont val="Arial"/>
        <family val="2"/>
      </rPr>
      <t>ITEM</t>
    </r>
  </si>
  <si>
    <r>
      <rPr>
        <b/>
        <sz val="7"/>
        <rFont val="Arial"/>
        <family val="2"/>
      </rPr>
      <t>CÓDIGO</t>
    </r>
  </si>
  <si>
    <r>
      <rPr>
        <b/>
        <sz val="7"/>
        <rFont val="Arial"/>
        <family val="2"/>
      </rPr>
      <t>DESCRIÇÃO</t>
    </r>
  </si>
  <si>
    <r>
      <rPr>
        <b/>
        <sz val="7"/>
        <rFont val="Arial"/>
        <family val="2"/>
      </rPr>
      <t>FONTE</t>
    </r>
  </si>
  <si>
    <r>
      <rPr>
        <b/>
        <sz val="7"/>
        <rFont val="Arial"/>
        <family val="2"/>
      </rPr>
      <t>UND</t>
    </r>
  </si>
  <si>
    <r>
      <rPr>
        <b/>
        <sz val="7"/>
        <rFont val="Arial"/>
        <family val="2"/>
      </rPr>
      <t>QUANTIDADE</t>
    </r>
  </si>
  <si>
    <r>
      <rPr>
        <b/>
        <sz val="7"/>
        <rFont val="Arial"/>
        <family val="2"/>
      </rPr>
      <t>PREÇO
UNITÁRIO R$</t>
    </r>
  </si>
  <si>
    <r>
      <rPr>
        <b/>
        <sz val="7"/>
        <rFont val="Arial"/>
        <family val="2"/>
      </rPr>
      <t>PREÇO
TOTAL R$</t>
    </r>
  </si>
  <si>
    <r>
      <rPr>
        <b/>
        <sz val="7"/>
        <rFont val="Arial"/>
        <family val="2"/>
      </rPr>
      <t>1</t>
    </r>
  </si>
  <si>
    <r>
      <rPr>
        <b/>
        <sz val="7"/>
        <rFont val="Arial"/>
        <family val="2"/>
      </rPr>
      <t>SERVIÇOS PRELIMINARES</t>
    </r>
  </si>
  <si>
    <r>
      <rPr>
        <sz val="7"/>
        <rFont val="Arial"/>
        <family val="2"/>
      </rPr>
      <t>1.1</t>
    </r>
  </si>
  <si>
    <r>
      <rPr>
        <sz val="7"/>
        <rFont val="Arial"/>
        <family val="2"/>
      </rPr>
      <t>C1937</t>
    </r>
  </si>
  <si>
    <r>
      <rPr>
        <sz val="7"/>
        <rFont val="Arial"/>
        <family val="2"/>
      </rPr>
      <t>PLACAS PADRÃO DE OBRA</t>
    </r>
  </si>
  <si>
    <r>
      <rPr>
        <sz val="7"/>
        <rFont val="Arial"/>
        <family val="2"/>
      </rPr>
      <t>SEINFRA</t>
    </r>
  </si>
  <si>
    <r>
      <rPr>
        <sz val="7"/>
        <rFont val="Arial"/>
        <family val="2"/>
      </rPr>
      <t>M2</t>
    </r>
  </si>
  <si>
    <r>
      <rPr>
        <sz val="7"/>
        <rFont val="Arial"/>
        <family val="2"/>
      </rPr>
      <t>1.2</t>
    </r>
  </si>
  <si>
    <r>
      <rPr>
        <sz val="7"/>
        <rFont val="Arial"/>
        <family val="2"/>
      </rPr>
      <t>99059</t>
    </r>
  </si>
  <si>
    <r>
      <rPr>
        <sz val="7"/>
        <rFont val="Arial"/>
        <family val="2"/>
      </rPr>
      <t>LOCACAO CONVENCIONAL DE OBRA, UTILIZANDO GABARITO DE TÁBUAS CORRIDAS PONTALETADAS A CADA 2,00M - 2 UTILIZAÇÕES. AF_10/2018</t>
    </r>
  </si>
  <si>
    <r>
      <rPr>
        <sz val="7"/>
        <rFont val="Arial"/>
        <family val="2"/>
      </rPr>
      <t>SINAPI</t>
    </r>
  </si>
  <si>
    <r>
      <rPr>
        <sz val="7"/>
        <rFont val="Arial"/>
        <family val="2"/>
      </rPr>
      <t>M</t>
    </r>
  </si>
  <si>
    <r>
      <rPr>
        <sz val="7"/>
        <rFont val="Arial"/>
        <family val="2"/>
      </rPr>
      <t>1.3</t>
    </r>
  </si>
  <si>
    <r>
      <rPr>
        <sz val="7"/>
        <rFont val="Arial"/>
        <family val="2"/>
      </rPr>
      <t>97622</t>
    </r>
  </si>
  <si>
    <r>
      <rPr>
        <sz val="7"/>
        <rFont val="Arial"/>
        <family val="2"/>
      </rPr>
      <t>DEMOLIÇÃO DE ALVENARIA DE BLOCO FURADO, DE FORMA MANUAL, SEM REAPROVEITAMENTO. AF_12/2017</t>
    </r>
  </si>
  <si>
    <r>
      <rPr>
        <sz val="7"/>
        <rFont val="Arial"/>
        <family val="2"/>
      </rPr>
      <t>M3</t>
    </r>
  </si>
  <si>
    <r>
      <rPr>
        <sz val="7"/>
        <rFont val="Arial"/>
        <family val="2"/>
      </rPr>
      <t>1.4</t>
    </r>
  </si>
  <si>
    <r>
      <rPr>
        <sz val="7"/>
        <rFont val="Arial"/>
        <family val="2"/>
      </rPr>
      <t>C1064</t>
    </r>
  </si>
  <si>
    <r>
      <rPr>
        <sz val="7"/>
        <rFont val="Arial"/>
        <family val="2"/>
      </rPr>
      <t>DEMOLIÇÃO DE PISO CERÂMICO</t>
    </r>
  </si>
  <si>
    <r>
      <rPr>
        <sz val="7"/>
        <rFont val="Arial"/>
        <family val="2"/>
      </rPr>
      <t>1.5</t>
    </r>
  </si>
  <si>
    <r>
      <rPr>
        <sz val="7"/>
        <rFont val="Arial"/>
        <family val="2"/>
      </rPr>
      <t>97647</t>
    </r>
  </si>
  <si>
    <r>
      <rPr>
        <sz val="7"/>
        <rFont val="Arial"/>
        <family val="2"/>
      </rPr>
      <t>REMOÇÃO DE TELHAS, DE FIBROCIMENTO, METÁLICA E CERÂMICA, DE FORMA MANUAL, SEM REAPROVEITAMENTO. AF_12/2017</t>
    </r>
  </si>
  <si>
    <r>
      <rPr>
        <b/>
        <sz val="7"/>
        <rFont val="Arial"/>
        <family val="2"/>
      </rPr>
      <t>2</t>
    </r>
  </si>
  <si>
    <r>
      <rPr>
        <b/>
        <sz val="7"/>
        <rFont val="Arial"/>
        <family val="2"/>
      </rPr>
      <t>MOVIMENTO DE TERRA</t>
    </r>
  </si>
  <si>
    <r>
      <rPr>
        <sz val="7"/>
        <rFont val="Arial"/>
        <family val="2"/>
      </rPr>
      <t>2.1</t>
    </r>
  </si>
  <si>
    <r>
      <rPr>
        <sz val="7"/>
        <rFont val="Arial"/>
        <family val="2"/>
      </rPr>
      <t>93358</t>
    </r>
  </si>
  <si>
    <r>
      <rPr>
        <sz val="7"/>
        <rFont val="Arial"/>
        <family val="2"/>
      </rPr>
      <t>ESCAVAÇÃO MANUAL DE VALA COM PROFUNDIDADE MENOR OU IGUAL A 1,30 M. AF_03/2016</t>
    </r>
  </si>
  <si>
    <r>
      <rPr>
        <sz val="7"/>
        <rFont val="Arial"/>
        <family val="2"/>
      </rPr>
      <t>2.2</t>
    </r>
  </si>
  <si>
    <r>
      <rPr>
        <sz val="7"/>
        <rFont val="Arial"/>
        <family val="2"/>
      </rPr>
      <t>C0096</t>
    </r>
  </si>
  <si>
    <r>
      <rPr>
        <sz val="7"/>
        <rFont val="Arial"/>
        <family val="2"/>
      </rPr>
      <t>REATERRO APILOADO</t>
    </r>
  </si>
  <si>
    <r>
      <rPr>
        <sz val="7"/>
        <rFont val="Arial"/>
        <family val="2"/>
      </rPr>
      <t>2.3</t>
    </r>
  </si>
  <si>
    <r>
      <rPr>
        <sz val="7"/>
        <rFont val="Arial"/>
        <family val="2"/>
      </rPr>
      <t>C0095</t>
    </r>
  </si>
  <si>
    <r>
      <rPr>
        <sz val="7"/>
        <rFont val="Arial"/>
        <family val="2"/>
      </rPr>
      <t>APILOAMENTO DE PISO OU FUNDO DE VALAS C/MAÇO DE 30 A 60 KG</t>
    </r>
  </si>
  <si>
    <r>
      <rPr>
        <sz val="7"/>
        <rFont val="Arial"/>
        <family val="2"/>
      </rPr>
      <t>2.4</t>
    </r>
  </si>
  <si>
    <r>
      <rPr>
        <sz val="7"/>
        <rFont val="Arial"/>
        <family val="2"/>
      </rPr>
      <t>C0331</t>
    </r>
  </si>
  <si>
    <r>
      <rPr>
        <sz val="7"/>
        <rFont val="Arial"/>
        <family val="2"/>
      </rPr>
      <t>ATERRO C/COMPACTAÇÃO MANUAL S/CONTROLE, MAT. PRODUZIDO (S/TRANSP.)</t>
    </r>
  </si>
  <si>
    <r>
      <rPr>
        <b/>
        <sz val="7"/>
        <rFont val="Arial"/>
        <family val="2"/>
      </rPr>
      <t>3</t>
    </r>
  </si>
  <si>
    <r>
      <rPr>
        <b/>
        <sz val="7"/>
        <rFont val="Arial"/>
        <family val="2"/>
      </rPr>
      <t>FUNDAÇÕES E ESTRUTURAS</t>
    </r>
  </si>
  <si>
    <r>
      <rPr>
        <sz val="7"/>
        <rFont val="Arial"/>
        <family val="2"/>
      </rPr>
      <t>3.1</t>
    </r>
  </si>
  <si>
    <r>
      <rPr>
        <sz val="7"/>
        <rFont val="Arial"/>
        <family val="2"/>
      </rPr>
      <t>C0056</t>
    </r>
  </si>
  <si>
    <r>
      <rPr>
        <sz val="7"/>
        <rFont val="Arial"/>
        <family val="2"/>
      </rPr>
      <t>ALVENARIA DE EMBASAMENTO DE TIJOLO FURADO, C/ ARGAMASSA MISTA C/ CAL HIDRATADA (1:2:8)</t>
    </r>
  </si>
  <si>
    <r>
      <rPr>
        <sz val="7"/>
        <rFont val="Arial"/>
        <family val="2"/>
      </rPr>
      <t>3.2</t>
    </r>
  </si>
  <si>
    <r>
      <rPr>
        <sz val="7"/>
        <rFont val="Arial"/>
        <family val="2"/>
      </rPr>
      <t>C1400</t>
    </r>
  </si>
  <si>
    <r>
      <rPr>
        <sz val="7"/>
        <rFont val="Arial"/>
        <family val="2"/>
      </rPr>
      <t>FORMA DE TÁBUAS DE 1" DE 3A. P/FUNDAÇÕES UTIL. 5 X</t>
    </r>
  </si>
  <si>
    <r>
      <rPr>
        <sz val="7"/>
        <rFont val="Arial"/>
        <family val="2"/>
      </rPr>
      <t>3.3</t>
    </r>
  </si>
  <si>
    <r>
      <rPr>
        <sz val="7"/>
        <rFont val="Arial"/>
        <family val="2"/>
      </rPr>
      <t>92413</t>
    </r>
  </si>
  <si>
    <r>
      <rPr>
        <sz val="7"/>
        <rFont val="Arial"/>
        <family val="2"/>
      </rPr>
      <t>MONTAGEM E DESMONTAGEM DE FÔRMA DE PILARES RETANGULARES E ESTRUTURAS SIMILARES COM ÁREA MÉDIA DAS SEÇÕES MAIOR QUE 0,25 M², PÉ-DIREITO SIMPLES, EM MADEIRA SERRADA, 4 UTILIZAÇÕES. AF_12/2015</t>
    </r>
  </si>
  <si>
    <r>
      <rPr>
        <sz val="7"/>
        <rFont val="Arial"/>
        <family val="2"/>
      </rPr>
      <t>3.4</t>
    </r>
  </si>
  <si>
    <r>
      <rPr>
        <sz val="7"/>
        <rFont val="Arial"/>
        <family val="2"/>
      </rPr>
      <t>SBC</t>
    </r>
  </si>
  <si>
    <r>
      <rPr>
        <sz val="7"/>
        <rFont val="Arial"/>
        <family val="2"/>
      </rPr>
      <t>3.5</t>
    </r>
  </si>
  <si>
    <r>
      <rPr>
        <sz val="7"/>
        <rFont val="Arial"/>
        <family val="2"/>
      </rPr>
      <t>94966</t>
    </r>
  </si>
  <si>
    <r>
      <rPr>
        <sz val="7"/>
        <rFont val="Arial"/>
        <family val="2"/>
      </rPr>
      <t>CONCRETO FCK = 30MPA, TRAÇO 1:2,1:2,5 (CIMENTO/ AREIA MÉDIA/ BRITA 1) - PREPARO MECÂNICO COM BETONEIRA 400 L. AF_07/2016</t>
    </r>
  </si>
  <si>
    <r>
      <rPr>
        <sz val="7"/>
        <rFont val="Arial"/>
        <family val="2"/>
      </rPr>
      <t>3.6</t>
    </r>
  </si>
  <si>
    <r>
      <rPr>
        <sz val="7"/>
        <rFont val="Arial"/>
        <family val="2"/>
      </rPr>
      <t>92776</t>
    </r>
  </si>
  <si>
    <r>
      <rPr>
        <sz val="7"/>
        <rFont val="Arial"/>
        <family val="2"/>
      </rPr>
      <t>ARMAÇÃO DE PILAR OU VIGA DE UMA ESTRUTURA CONVENCIONAL DE CONCRETO ARMADO EM UMA EDIFICAÇÃO TÉRREA OU SOBRADO UTILIZANDO AÇO CA-50 DE 6,3 MM - MONTAGEM. AF_12/2015</t>
    </r>
  </si>
  <si>
    <r>
      <rPr>
        <sz val="7"/>
        <rFont val="Arial"/>
        <family val="2"/>
      </rPr>
      <t>KG</t>
    </r>
  </si>
  <si>
    <r>
      <rPr>
        <sz val="7"/>
        <rFont val="Arial"/>
        <family val="2"/>
      </rPr>
      <t>3.7</t>
    </r>
  </si>
  <si>
    <r>
      <rPr>
        <sz val="7"/>
        <rFont val="Arial"/>
        <family val="2"/>
      </rPr>
      <t>92778</t>
    </r>
  </si>
  <si>
    <r>
      <rPr>
        <sz val="7"/>
        <rFont val="Arial"/>
        <family val="2"/>
      </rPr>
      <t>ARMAÇÃO DE PILAR OU VIGA DE UMA ESTRUTURA CONVENCIONAL DE CONCRETO ARMADO EM UMA EDIFICAÇÃO TÉRREA OU SOBRADO UTILIZANDO AÇO CA-50 DE 10,0 MM - MONTAGEM. AF_12/2015</t>
    </r>
  </si>
  <si>
    <r>
      <rPr>
        <sz val="7"/>
        <rFont val="Arial"/>
        <family val="2"/>
      </rPr>
      <t>3.8</t>
    </r>
  </si>
  <si>
    <r>
      <rPr>
        <sz val="7"/>
        <rFont val="Arial"/>
        <family val="2"/>
      </rPr>
      <t>C4456</t>
    </r>
  </si>
  <si>
    <r>
      <rPr>
        <sz val="7"/>
        <rFont val="Arial"/>
        <family val="2"/>
      </rPr>
      <t>LAJE PRÉ-FABRICADA TRELIÇADA P/ FÔRRO - VÃO DE 2,81 A 3,80 m</t>
    </r>
  </si>
  <si>
    <r>
      <rPr>
        <sz val="7"/>
        <rFont val="Arial"/>
        <family val="2"/>
      </rPr>
      <t>3.9</t>
    </r>
  </si>
  <si>
    <r>
      <rPr>
        <sz val="7"/>
        <rFont val="Arial"/>
        <family val="2"/>
      </rPr>
      <t>93182</t>
    </r>
  </si>
  <si>
    <r>
      <rPr>
        <sz val="7"/>
        <rFont val="Arial"/>
        <family val="2"/>
      </rPr>
      <t>VERGA PRÉ-MOLDADA PARA JANELAS COM ATÉ 1,5 M DE VÃO. AF_03/2016</t>
    </r>
  </si>
  <si>
    <r>
      <rPr>
        <sz val="7"/>
        <rFont val="Arial"/>
        <family val="2"/>
      </rPr>
      <t>3.10</t>
    </r>
  </si>
  <si>
    <r>
      <rPr>
        <sz val="7"/>
        <rFont val="Arial"/>
        <family val="2"/>
      </rPr>
      <t>93194</t>
    </r>
  </si>
  <si>
    <r>
      <rPr>
        <sz val="7"/>
        <rFont val="Arial"/>
        <family val="2"/>
      </rPr>
      <t>CONTRAVERGA PRÉ-MOLDADA PARA VÃOS DE ATÉ 1,5 M DE COMPRIMENTO. AF_03/2016</t>
    </r>
  </si>
  <si>
    <r>
      <rPr>
        <sz val="7"/>
        <rFont val="Arial"/>
        <family val="2"/>
      </rPr>
      <t>3.11</t>
    </r>
  </si>
  <si>
    <r>
      <rPr>
        <sz val="7"/>
        <rFont val="Arial"/>
        <family val="2"/>
      </rPr>
      <t>93185</t>
    </r>
  </si>
  <si>
    <r>
      <rPr>
        <sz val="7"/>
        <rFont val="Arial"/>
        <family val="2"/>
      </rPr>
      <t>VERGA PRÉ-MOLDADA PARA PORTAS COM MAIS DE 1,5 M DE VÃO. AF_03/2016</t>
    </r>
  </si>
  <si>
    <r>
      <rPr>
        <sz val="7"/>
        <rFont val="Arial"/>
        <family val="2"/>
      </rPr>
      <t>3.12</t>
    </r>
  </si>
  <si>
    <r>
      <rPr>
        <b/>
        <sz val="7"/>
        <rFont val="Arial"/>
        <family val="2"/>
      </rPr>
      <t>4</t>
    </r>
  </si>
  <si>
    <r>
      <rPr>
        <b/>
        <sz val="7"/>
        <rFont val="Arial"/>
        <family val="2"/>
      </rPr>
      <t>IMPERMEABILIZAÇÃO</t>
    </r>
  </si>
  <si>
    <r>
      <rPr>
        <sz val="7"/>
        <rFont val="Arial"/>
        <family val="2"/>
      </rPr>
      <t>4.1</t>
    </r>
  </si>
  <si>
    <r>
      <rPr>
        <sz val="7"/>
        <rFont val="Arial"/>
        <family val="2"/>
      </rPr>
      <t>74106/001</t>
    </r>
  </si>
  <si>
    <r>
      <rPr>
        <sz val="7"/>
        <rFont val="Arial"/>
        <family val="2"/>
      </rPr>
      <t>IMPERMEABILIZACAO DE ESTRUTURAS ENTERRADAS, COM TINTA ASFALTICA, DUAS DEMAOS.</t>
    </r>
  </si>
  <si>
    <r>
      <rPr>
        <sz val="7"/>
        <rFont val="Arial"/>
        <family val="2"/>
      </rPr>
      <t>4.2</t>
    </r>
  </si>
  <si>
    <r>
      <rPr>
        <sz val="7"/>
        <rFont val="Arial"/>
        <family val="2"/>
      </rPr>
      <t>4.3</t>
    </r>
  </si>
  <si>
    <r>
      <rPr>
        <b/>
        <sz val="7"/>
        <rFont val="Arial"/>
        <family val="2"/>
      </rPr>
      <t>5</t>
    </r>
  </si>
  <si>
    <r>
      <rPr>
        <b/>
        <sz val="7"/>
        <rFont val="Arial"/>
        <family val="2"/>
      </rPr>
      <t>ALVENARIA DE VEDAÇÃO</t>
    </r>
  </si>
  <si>
    <r>
      <rPr>
        <sz val="7"/>
        <rFont val="Arial"/>
        <family val="2"/>
      </rPr>
      <t>5.1</t>
    </r>
  </si>
  <si>
    <r>
      <rPr>
        <sz val="7"/>
        <rFont val="Arial"/>
        <family val="2"/>
      </rPr>
      <t>87505</t>
    </r>
  </si>
  <si>
    <r>
      <rPr>
        <sz val="7"/>
        <rFont val="Arial"/>
        <family val="2"/>
      </rPr>
      <t>ALVENARIA DE VEDAÇÃO DE BLOCOS CERÂMICOS FURADOS NA HORIZONTAL DE 11,5X19X19CM (ESPESSURA 11,5M) DE PAREDES COM ÁREA LÍQUIDA MAIOR OU IGUAL A 6M² SEM VÃOS E ARGAMASSA DE ASSENTAMENTO COM PREPARO EM BETONEIRA. AF_06/2014</t>
    </r>
  </si>
  <si>
    <r>
      <rPr>
        <b/>
        <sz val="7"/>
        <rFont val="Arial"/>
        <family val="2"/>
      </rPr>
      <t>6</t>
    </r>
  </si>
  <si>
    <r>
      <rPr>
        <b/>
        <sz val="7"/>
        <rFont val="Arial"/>
        <family val="2"/>
      </rPr>
      <t>ALVENARIA PARA BANCADAS</t>
    </r>
  </si>
  <si>
    <r>
      <rPr>
        <sz val="7"/>
        <rFont val="Arial"/>
        <family val="2"/>
      </rPr>
      <t>6.1</t>
    </r>
  </si>
  <si>
    <r>
      <rPr>
        <b/>
        <sz val="7"/>
        <rFont val="Arial"/>
        <family val="2"/>
      </rPr>
      <t>7</t>
    </r>
  </si>
  <si>
    <r>
      <rPr>
        <b/>
        <sz val="7"/>
        <rFont val="Arial"/>
        <family val="2"/>
      </rPr>
      <t>ALVENARIA PARA PLATIBANDA</t>
    </r>
  </si>
  <si>
    <r>
      <rPr>
        <sz val="7"/>
        <rFont val="Arial"/>
        <family val="2"/>
      </rPr>
      <t>7.1</t>
    </r>
  </si>
  <si>
    <r>
      <rPr>
        <b/>
        <sz val="7"/>
        <rFont val="Arial"/>
        <family val="2"/>
      </rPr>
      <t>8</t>
    </r>
  </si>
  <si>
    <r>
      <rPr>
        <b/>
        <sz val="7"/>
        <rFont val="Arial"/>
        <family val="2"/>
      </rPr>
      <t>ESQUADRIAS/CERCAS</t>
    </r>
  </si>
  <si>
    <r>
      <rPr>
        <sz val="7"/>
        <rFont val="Arial"/>
        <family val="2"/>
      </rPr>
      <t>8.1</t>
    </r>
  </si>
  <si>
    <r>
      <rPr>
        <sz val="7"/>
        <rFont val="Arial"/>
        <family val="2"/>
      </rPr>
      <t xml:space="preserve">PORTA TIPO PARANÁ 0,90X2,10 C0M ACESSÓRIOS </t>
    </r>
  </si>
  <si>
    <r>
      <rPr>
        <sz val="7"/>
        <rFont val="Arial"/>
        <family val="2"/>
      </rPr>
      <t>PRÓPRIA</t>
    </r>
  </si>
  <si>
    <r>
      <rPr>
        <sz val="7"/>
        <rFont val="Arial"/>
        <family val="2"/>
      </rPr>
      <t>UN</t>
    </r>
  </si>
  <si>
    <r>
      <rPr>
        <sz val="7"/>
        <rFont val="Arial"/>
        <family val="2"/>
      </rPr>
      <t>8.2</t>
    </r>
  </si>
  <si>
    <r>
      <rPr>
        <sz val="7"/>
        <rFont val="Arial"/>
        <family val="2"/>
      </rPr>
      <t>C4427</t>
    </r>
  </si>
  <si>
    <r>
      <rPr>
        <sz val="7"/>
        <rFont val="Arial"/>
        <family val="2"/>
      </rPr>
      <t>PORTA TIPO PARANÁ (0,80 x 2,10 m), C/ FERRAGENS</t>
    </r>
  </si>
  <si>
    <r>
      <rPr>
        <sz val="7"/>
        <rFont val="Arial"/>
        <family val="2"/>
      </rPr>
      <t>8.3</t>
    </r>
  </si>
  <si>
    <r>
      <rPr>
        <sz val="7"/>
        <rFont val="Arial"/>
        <family val="2"/>
      </rPr>
      <t>C4423</t>
    </r>
  </si>
  <si>
    <r>
      <rPr>
        <sz val="7"/>
        <rFont val="Arial"/>
        <family val="2"/>
      </rPr>
      <t>PORTA TIPO PARANÁ (0,60 x 2,10 m), C/ FERRAGENS</t>
    </r>
  </si>
  <si>
    <r>
      <rPr>
        <sz val="7"/>
        <rFont val="Arial"/>
        <family val="2"/>
      </rPr>
      <t>8.4</t>
    </r>
  </si>
  <si>
    <r>
      <rPr>
        <sz val="7"/>
        <rFont val="Arial"/>
        <family val="2"/>
      </rPr>
      <t>C4425</t>
    </r>
  </si>
  <si>
    <r>
      <rPr>
        <sz val="7"/>
        <rFont val="Arial"/>
        <family val="2"/>
      </rPr>
      <t>PORTA TIPO PARANÁ (0,70 x 2,10 m), C/ FERRAGENS</t>
    </r>
  </si>
  <si>
    <r>
      <rPr>
        <sz val="7"/>
        <rFont val="Arial"/>
        <family val="2"/>
      </rPr>
      <t>8.5</t>
    </r>
  </si>
  <si>
    <r>
      <rPr>
        <sz val="7"/>
        <rFont val="Arial"/>
        <family val="2"/>
      </rPr>
      <t>8.6</t>
    </r>
  </si>
  <si>
    <r>
      <rPr>
        <sz val="7"/>
        <rFont val="Arial"/>
        <family val="2"/>
      </rPr>
      <t>C3733</t>
    </r>
  </si>
  <si>
    <r>
      <rPr>
        <sz val="7"/>
        <rFont val="Arial"/>
        <family val="2"/>
      </rPr>
      <t>PORTÃO DE ALUMÍNIO ANODIZADO NATURAL, FECHAMENTO TOTAL C/ LAMBRI BOLA E CORREDIÇO (FORNECIMENTO E MONTAGEM)</t>
    </r>
  </si>
  <si>
    <r>
      <rPr>
        <sz val="7"/>
        <rFont val="Arial"/>
        <family val="2"/>
      </rPr>
      <t>8.7</t>
    </r>
  </si>
  <si>
    <r>
      <rPr>
        <sz val="7"/>
        <rFont val="Arial"/>
        <family val="2"/>
      </rPr>
      <t>8.8</t>
    </r>
  </si>
  <si>
    <r>
      <rPr>
        <sz val="7"/>
        <rFont val="Arial"/>
        <family val="2"/>
      </rPr>
      <t>C0805</t>
    </r>
  </si>
  <si>
    <r>
      <rPr>
        <sz val="7"/>
        <rFont val="Arial"/>
        <family val="2"/>
      </rPr>
      <t>COBOGÓ DE CIMENTO TIPO DIAMANTE</t>
    </r>
  </si>
  <si>
    <r>
      <rPr>
        <b/>
        <sz val="7"/>
        <rFont val="Arial"/>
        <family val="2"/>
      </rPr>
      <t>9</t>
    </r>
  </si>
  <si>
    <r>
      <rPr>
        <b/>
        <sz val="7"/>
        <rFont val="Arial"/>
        <family val="2"/>
      </rPr>
      <t>COBERTURA</t>
    </r>
  </si>
  <si>
    <r>
      <rPr>
        <sz val="7"/>
        <rFont val="Arial"/>
        <family val="2"/>
      </rPr>
      <t>9.1</t>
    </r>
  </si>
  <si>
    <r>
      <rPr>
        <sz val="7"/>
        <rFont val="Arial"/>
        <family val="2"/>
      </rPr>
      <t>C0802</t>
    </r>
  </si>
  <si>
    <r>
      <rPr>
        <sz val="7"/>
        <rFont val="Arial"/>
        <family val="2"/>
      </rPr>
      <t>COBERTURA C/TELHA ONDULADA DE FIBRO-CIMENTO E= 6mm ( C/MADEIRAMENTO )</t>
    </r>
  </si>
  <si>
    <r>
      <rPr>
        <sz val="7"/>
        <rFont val="Arial"/>
        <family val="2"/>
      </rPr>
      <t>9.2</t>
    </r>
  </si>
  <si>
    <r>
      <rPr>
        <sz val="7"/>
        <rFont val="Arial"/>
        <family val="2"/>
      </rPr>
      <t>9.3</t>
    </r>
  </si>
  <si>
    <r>
      <rPr>
        <sz val="7"/>
        <rFont val="Arial"/>
        <family val="2"/>
      </rPr>
      <t>9.4</t>
    </r>
  </si>
  <si>
    <r>
      <rPr>
        <sz val="7"/>
        <rFont val="Arial"/>
        <family val="2"/>
      </rPr>
      <t xml:space="preserve">PERGOLADOS EM LINHA DE MADEIRA MACIÇA (14,00x7,00cm), TIPO MAÇARANDUBA, C/ ACABAMENTO EM VERNIZ FOSCO À BASE D'AGUA; </t>
    </r>
  </si>
  <si>
    <r>
      <rPr>
        <sz val="7"/>
        <rFont val="Arial"/>
        <family val="2"/>
      </rPr>
      <t>9.5</t>
    </r>
  </si>
  <si>
    <r>
      <rPr>
        <b/>
        <sz val="7"/>
        <rFont val="Arial"/>
        <family val="2"/>
      </rPr>
      <t>10</t>
    </r>
  </si>
  <si>
    <r>
      <rPr>
        <b/>
        <sz val="7"/>
        <rFont val="Arial"/>
        <family val="2"/>
      </rPr>
      <t>REVESTIMENTOS</t>
    </r>
  </si>
  <si>
    <r>
      <rPr>
        <sz val="7"/>
        <rFont val="Arial"/>
        <family val="2"/>
      </rPr>
      <t>10.1</t>
    </r>
  </si>
  <si>
    <r>
      <rPr>
        <sz val="7"/>
        <rFont val="Arial"/>
        <family val="2"/>
      </rPr>
      <t>87879</t>
    </r>
  </si>
  <si>
    <r>
      <rPr>
        <sz val="7"/>
        <rFont val="Arial"/>
        <family val="2"/>
      </rPr>
      <t>CHAPISCO APLICADO EM ALVENARIAS E ESTRUTURAS DE CONCRETO INTERNAS, COM COLHER DE PEDREIRO. ARGAMASSA TRAÇO 1:3 COM PREPARO EM BETONEIRA 400L. AF_06/2014</t>
    </r>
  </si>
  <si>
    <r>
      <rPr>
        <sz val="7"/>
        <rFont val="Arial"/>
        <family val="2"/>
      </rPr>
      <t>10.2</t>
    </r>
  </si>
  <si>
    <r>
      <rPr>
        <sz val="7"/>
        <rFont val="Arial"/>
        <family val="2"/>
      </rPr>
      <t>87543</t>
    </r>
  </si>
  <si>
    <r>
      <rPr>
        <sz val="7"/>
        <rFont val="Arial"/>
        <family val="2"/>
      </rPr>
      <t>MASSA ÚNICA, PARA RECEBIMENTO DE PINTURA OU CERÂMICA, ARGAMASSA INDUSTRIALIZADA, PREPARO MECÂNICO, APLICADO COM EQUIPAMENTO DE MISTURA E PROJEÇÃO DE 1,5 M3/H EM FACES INTERNAS DE PAREDES, ESPESSURA DE 5MM, SEM EXECUÇÃO DE TALISCAS. AF_06/2014</t>
    </r>
  </si>
  <si>
    <r>
      <rPr>
        <sz val="7"/>
        <rFont val="Arial"/>
        <family val="2"/>
      </rPr>
      <t>10.3</t>
    </r>
  </si>
  <si>
    <r>
      <rPr>
        <sz val="7"/>
        <rFont val="Arial"/>
        <family val="2"/>
      </rPr>
      <t>C0778</t>
    </r>
  </si>
  <si>
    <r>
      <rPr>
        <sz val="7"/>
        <rFont val="Arial"/>
        <family val="2"/>
      </rPr>
      <t>CHAPISCO C/ ARGAMASSA DE CIMENTO E AREIA S/ PENEIRAR TRAÇO 1:3 ESP=5 mm P/ TETO</t>
    </r>
  </si>
  <si>
    <r>
      <rPr>
        <sz val="7"/>
        <rFont val="Arial"/>
        <family val="2"/>
      </rPr>
      <t>10.4</t>
    </r>
  </si>
  <si>
    <r>
      <rPr>
        <sz val="7"/>
        <rFont val="Arial"/>
        <family val="2"/>
      </rPr>
      <t>C1217</t>
    </r>
  </si>
  <si>
    <r>
      <rPr>
        <sz val="7"/>
        <rFont val="Arial"/>
        <family val="2"/>
      </rPr>
      <t>EMBOÇO C/ ARGAMASSA MISTA CIMENTO, CAL HIDRATADA E AREIA S/ PENEIRAR TRAÇO 1:2:11 ESP=20 mm P/ TETO</t>
    </r>
  </si>
  <si>
    <r>
      <rPr>
        <sz val="7"/>
        <rFont val="Arial"/>
        <family val="2"/>
      </rPr>
      <t>10.5</t>
    </r>
  </si>
  <si>
    <r>
      <rPr>
        <sz val="7"/>
        <rFont val="Arial"/>
        <family val="2"/>
      </rPr>
      <t>10.6</t>
    </r>
  </si>
  <si>
    <r>
      <rPr>
        <sz val="7"/>
        <rFont val="Arial"/>
        <family val="2"/>
      </rPr>
      <t>120490</t>
    </r>
  </si>
  <si>
    <r>
      <rPr>
        <sz val="7"/>
        <rFont val="Arial"/>
        <family val="2"/>
      </rPr>
      <t>TETO EM GESSO COM PLACAS 60x60cm FIXADAS C/ARAME-EM LOJAS</t>
    </r>
  </si>
  <si>
    <r>
      <rPr>
        <sz val="7"/>
        <rFont val="Arial"/>
        <family val="2"/>
      </rPr>
      <t>C1869</t>
    </r>
  </si>
  <si>
    <r>
      <rPr>
        <sz val="7"/>
        <rFont val="Arial"/>
        <family val="2"/>
      </rPr>
      <t>PEITORIL DE GRANITO L= 15 cm</t>
    </r>
  </si>
  <si>
    <r>
      <rPr>
        <sz val="7"/>
        <rFont val="Arial"/>
        <family val="2"/>
      </rPr>
      <t>C2284</t>
    </r>
  </si>
  <si>
    <r>
      <rPr>
        <sz val="7"/>
        <rFont val="Arial"/>
        <family val="2"/>
      </rPr>
      <t>SOLEIRA DE GRANITO L= 15cm</t>
    </r>
  </si>
  <si>
    <r>
      <rPr>
        <sz val="7"/>
        <rFont val="Arial"/>
        <family val="2"/>
      </rPr>
      <t>121100</t>
    </r>
  </si>
  <si>
    <r>
      <rPr>
        <sz val="7"/>
        <rFont val="Arial"/>
        <family val="2"/>
      </rPr>
      <t>RESSALTES EM ARGAMASSA PARA MOLDURA DE ESQUADRIAS</t>
    </r>
  </si>
  <si>
    <r>
      <rPr>
        <b/>
        <sz val="7"/>
        <rFont val="Arial"/>
        <family val="2"/>
      </rPr>
      <t>11</t>
    </r>
  </si>
  <si>
    <r>
      <rPr>
        <b/>
        <sz val="7"/>
        <rFont val="Arial"/>
        <family val="2"/>
      </rPr>
      <t>PISOS</t>
    </r>
  </si>
  <si>
    <r>
      <rPr>
        <sz val="7"/>
        <rFont val="Arial"/>
        <family val="2"/>
      </rPr>
      <t>11.1</t>
    </r>
  </si>
  <si>
    <r>
      <rPr>
        <sz val="7"/>
        <rFont val="Arial"/>
        <family val="2"/>
      </rPr>
      <t>11.2</t>
    </r>
  </si>
  <si>
    <r>
      <rPr>
        <sz val="7"/>
        <rFont val="Arial"/>
        <family val="2"/>
      </rPr>
      <t>C1915</t>
    </r>
  </si>
  <si>
    <r>
      <rPr>
        <sz val="7"/>
        <rFont val="Arial"/>
        <family val="2"/>
      </rPr>
      <t>PISO CIMENTADO C/ ARGAMASSA DE CIMENTO E AREIA S/ PENEIRAR, TRAÇO 1:4, ESP.= 1.5cm</t>
    </r>
  </si>
  <si>
    <r>
      <rPr>
        <sz val="7"/>
        <rFont val="Arial"/>
        <family val="2"/>
      </rPr>
      <t>11.3</t>
    </r>
  </si>
  <si>
    <r>
      <rPr>
        <sz val="7"/>
        <rFont val="Arial"/>
        <family val="2"/>
      </rPr>
      <t>92402</t>
    </r>
  </si>
  <si>
    <r>
      <rPr>
        <sz val="7"/>
        <rFont val="Arial"/>
        <family val="2"/>
      </rPr>
      <t>EXECUÇÃO DE PASSEIO EM PISO INTERTRAVADO, COM BLOCO 16 FACES DE 22 X 11 CM, ESPESSURA 6 CM. AF_12/2015</t>
    </r>
  </si>
  <si>
    <r>
      <rPr>
        <sz val="7"/>
        <rFont val="Arial"/>
        <family val="2"/>
      </rPr>
      <t>11.4</t>
    </r>
  </si>
  <si>
    <r>
      <rPr>
        <b/>
        <sz val="7"/>
        <rFont val="Arial"/>
        <family val="2"/>
      </rPr>
      <t>12</t>
    </r>
  </si>
  <si>
    <r>
      <rPr>
        <b/>
        <sz val="7"/>
        <rFont val="Arial"/>
        <family val="2"/>
      </rPr>
      <t>INSTALAÇÕES DE AGUA FRIA</t>
    </r>
  </si>
  <si>
    <r>
      <rPr>
        <sz val="7"/>
        <rFont val="Arial"/>
        <family val="2"/>
      </rPr>
      <t>12.1</t>
    </r>
  </si>
  <si>
    <r>
      <rPr>
        <sz val="7"/>
        <rFont val="Arial"/>
        <family val="2"/>
      </rPr>
      <t>12.2</t>
    </r>
  </si>
  <si>
    <r>
      <rPr>
        <sz val="7"/>
        <rFont val="Arial"/>
        <family val="2"/>
      </rPr>
      <t>12.3</t>
    </r>
  </si>
  <si>
    <r>
      <rPr>
        <sz val="7"/>
        <rFont val="Arial"/>
        <family val="2"/>
      </rPr>
      <t>12.4</t>
    </r>
  </si>
  <si>
    <r>
      <rPr>
        <sz val="7"/>
        <rFont val="Arial"/>
        <family val="2"/>
      </rPr>
      <t>90374</t>
    </r>
  </si>
  <si>
    <r>
      <rPr>
        <sz val="7"/>
        <rFont val="Arial"/>
        <family val="2"/>
      </rPr>
      <t>TÊ COM BUCHA DE LATÃO NA BOLSA CENTRAL, PVC, SOLDÁVEL, DN 25MM X 3/4?, INSTALADO EM RAMAL OU SUB-RAMAL DE ÁGUA - FORNECIMENTO E INSTALAÇÃO. AF_03/2015</t>
    </r>
  </si>
  <si>
    <r>
      <rPr>
        <sz val="7"/>
        <rFont val="Arial"/>
        <family val="2"/>
      </rPr>
      <t>12.5</t>
    </r>
  </si>
  <si>
    <r>
      <rPr>
        <sz val="7"/>
        <rFont val="Arial"/>
        <family val="2"/>
      </rPr>
      <t>89366</t>
    </r>
  </si>
  <si>
    <r>
      <rPr>
        <sz val="7"/>
        <rFont val="Arial"/>
        <family val="2"/>
      </rPr>
      <t>JOELHO 90 GRAUS COM BUCHA DE LATÃO, PVC, SOLDÁVEL, DN 25MM, X 3/4? INSTALADO EM RAMAL OU SUB-RAMAL DE ÁGUA - FORNECIMENTO E INSTALAÇÃO. AF_12/2014</t>
    </r>
  </si>
  <si>
    <r>
      <rPr>
        <sz val="7"/>
        <rFont val="Arial"/>
        <family val="2"/>
      </rPr>
      <t>12.6</t>
    </r>
  </si>
  <si>
    <r>
      <rPr>
        <sz val="7"/>
        <rFont val="Arial"/>
        <family val="2"/>
      </rPr>
      <t>12.7</t>
    </r>
  </si>
  <si>
    <r>
      <rPr>
        <sz val="7"/>
        <rFont val="Arial"/>
        <family val="2"/>
      </rPr>
      <t>12.8</t>
    </r>
  </si>
  <si>
    <r>
      <rPr>
        <sz val="7"/>
        <rFont val="Arial"/>
        <family val="2"/>
      </rPr>
      <t>12.9</t>
    </r>
  </si>
  <si>
    <r>
      <rPr>
        <sz val="7"/>
        <rFont val="Arial"/>
        <family val="2"/>
      </rPr>
      <t>C2166</t>
    </r>
  </si>
  <si>
    <r>
      <rPr>
        <sz val="7"/>
        <rFont val="Arial"/>
        <family val="2"/>
      </rPr>
      <t>REGISTRO DE GAVETA C/CANOPLA CROMADA D= 20mm (3/4")</t>
    </r>
  </si>
  <si>
    <r>
      <rPr>
        <sz val="7"/>
        <rFont val="Arial"/>
        <family val="2"/>
      </rPr>
      <t>12.10</t>
    </r>
  </si>
  <si>
    <r>
      <rPr>
        <sz val="7"/>
        <rFont val="Arial"/>
        <family val="2"/>
      </rPr>
      <t>95644</t>
    </r>
  </si>
  <si>
    <r>
      <rPr>
        <sz val="7"/>
        <rFont val="Arial"/>
        <family val="2"/>
      </rPr>
      <t>KIT CAVALETE PARA MEDIÇÃO DE ÁGUA - ENTRADA INDIVIDUALIZADA, EM PVC DN 32 (1?), PARA 1 MEDIDOR ? FORNECIMENTO E INSTALAÇÃO (EXCLUSIVE HIDRÔMETRO). AF_11/2016</t>
    </r>
  </si>
  <si>
    <r>
      <rPr>
        <sz val="7"/>
        <rFont val="Arial"/>
        <family val="2"/>
      </rPr>
      <t>12.11</t>
    </r>
  </si>
  <si>
    <r>
      <rPr>
        <sz val="7"/>
        <rFont val="Arial"/>
        <family val="2"/>
      </rPr>
      <t>C2159</t>
    </r>
  </si>
  <si>
    <r>
      <rPr>
        <sz val="7"/>
        <rFont val="Arial"/>
        <family val="2"/>
      </rPr>
      <t>REGISTRO DE GAVETA BRUTO D= 32mm (1 1/4")</t>
    </r>
  </si>
  <si>
    <r>
      <rPr>
        <sz val="7"/>
        <rFont val="Arial"/>
        <family val="2"/>
      </rPr>
      <t>12.12</t>
    </r>
  </si>
  <si>
    <r>
      <rPr>
        <sz val="7"/>
        <rFont val="Arial"/>
        <family val="2"/>
      </rPr>
      <t>12.13</t>
    </r>
  </si>
  <si>
    <r>
      <rPr>
        <b/>
        <sz val="7"/>
        <rFont val="Arial"/>
        <family val="2"/>
      </rPr>
      <t>13</t>
    </r>
  </si>
  <si>
    <r>
      <rPr>
        <b/>
        <sz val="7"/>
        <rFont val="Arial"/>
        <family val="2"/>
      </rPr>
      <t>INSTALAÇÕES DE ESGOTO</t>
    </r>
  </si>
  <si>
    <r>
      <rPr>
        <sz val="7"/>
        <rFont val="Arial"/>
        <family val="2"/>
      </rPr>
      <t>13.1</t>
    </r>
  </si>
  <si>
    <r>
      <rPr>
        <sz val="7"/>
        <rFont val="Arial"/>
        <family val="2"/>
      </rPr>
      <t>89512</t>
    </r>
  </si>
  <si>
    <r>
      <rPr>
        <sz val="7"/>
        <rFont val="Arial"/>
        <family val="2"/>
      </rPr>
      <t>TUBO PVC, SÉRIE R, ÁGUA PLUVIAL, DN 100 MM, FORNECIDO E INSTALADO EM RAMAL DE ENCAMINHAMENTO. AF_12/2014</t>
    </r>
  </si>
  <si>
    <r>
      <rPr>
        <sz val="7"/>
        <rFont val="Arial"/>
        <family val="2"/>
      </rPr>
      <t>13.2</t>
    </r>
  </si>
  <si>
    <r>
      <rPr>
        <sz val="7"/>
        <rFont val="Arial"/>
        <family val="2"/>
      </rPr>
      <t>C0613</t>
    </r>
  </si>
  <si>
    <r>
      <rPr>
        <sz val="7"/>
        <rFont val="Arial"/>
        <family val="2"/>
      </rPr>
      <t>CAIXA DE INSPEÇÃO EM ALVENARIA-LASTRO DE CONCRETO ESP.= 10cm</t>
    </r>
  </si>
  <si>
    <r>
      <rPr>
        <sz val="7"/>
        <rFont val="Arial"/>
        <family val="2"/>
      </rPr>
      <t>13.3</t>
    </r>
  </si>
  <si>
    <r>
      <rPr>
        <sz val="7"/>
        <rFont val="Arial"/>
        <family val="2"/>
      </rPr>
      <t>13.4</t>
    </r>
  </si>
  <si>
    <r>
      <rPr>
        <sz val="7"/>
        <rFont val="Arial"/>
        <family val="2"/>
      </rPr>
      <t>89711</t>
    </r>
  </si>
  <si>
    <r>
      <rPr>
        <sz val="7"/>
        <rFont val="Arial"/>
        <family val="2"/>
      </rPr>
      <t>TUBO PVC, SERIE NORMAL, ESGOTO PREDIAL, DN 40 MM, FORNECIDO E INSTALADO EM RAMAL DE DESCARGA OU RAMAL DE ESGOTO SANITÁRIO. AF_12/2014</t>
    </r>
  </si>
  <si>
    <r>
      <rPr>
        <sz val="7"/>
        <rFont val="Arial"/>
        <family val="2"/>
      </rPr>
      <t>13.5</t>
    </r>
  </si>
  <si>
    <r>
      <rPr>
        <sz val="7"/>
        <rFont val="Arial"/>
        <family val="2"/>
      </rPr>
      <t>89798</t>
    </r>
  </si>
  <si>
    <r>
      <rPr>
        <sz val="7"/>
        <rFont val="Arial"/>
        <family val="2"/>
      </rPr>
      <t>TUBO PVC, SERIE NORMAL, ESGOTO PREDIAL, DN 50 MM, FORNECIDO E INSTALADO EM PRUMADA DE ESGOTO SANITÁRIO OU VENTILAÇÃO. AF_12/2014</t>
    </r>
  </si>
  <si>
    <r>
      <rPr>
        <sz val="7"/>
        <rFont val="Arial"/>
        <family val="2"/>
      </rPr>
      <t>13.6</t>
    </r>
  </si>
  <si>
    <r>
      <rPr>
        <sz val="7"/>
        <rFont val="Arial"/>
        <family val="2"/>
      </rPr>
      <t>C1582</t>
    </r>
  </si>
  <si>
    <r>
      <rPr>
        <sz val="7"/>
        <rFont val="Arial"/>
        <family val="2"/>
      </rPr>
      <t>JUNÇÃO SIMPLES DE REDUÇÃO PVC P/ESGOTO 100X50mm(4"X2")</t>
    </r>
  </si>
  <si>
    <r>
      <rPr>
        <sz val="7"/>
        <rFont val="Arial"/>
        <family val="2"/>
      </rPr>
      <t>13.7</t>
    </r>
  </si>
  <si>
    <r>
      <rPr>
        <sz val="7"/>
        <rFont val="Arial"/>
        <family val="2"/>
      </rPr>
      <t>C1574</t>
    </r>
  </si>
  <si>
    <r>
      <rPr>
        <sz val="7"/>
        <rFont val="Arial"/>
        <family val="2"/>
      </rPr>
      <t>JUNÇÃO SIMPLES C/INSPEÇÃO PVC P/ESGOTO D=100mm (4")-C/ANÉIS</t>
    </r>
  </si>
  <si>
    <r>
      <rPr>
        <sz val="7"/>
        <rFont val="Arial"/>
        <family val="2"/>
      </rPr>
      <t>13.8</t>
    </r>
  </si>
  <si>
    <r>
      <rPr>
        <sz val="7"/>
        <rFont val="Arial"/>
        <family val="2"/>
      </rPr>
      <t>89827</t>
    </r>
  </si>
  <si>
    <r>
      <rPr>
        <sz val="7"/>
        <rFont val="Arial"/>
        <family val="2"/>
      </rPr>
      <t>JUNÇÃO SIMPLES, PVC, SERIE NORMAL, ESGOTO PREDIAL, DN 50 X 50 MM, JUNTA ELÁSTICA, FORNECIDO E INSTALADO EM PRUMADA DE ESGOTO SANITÁRIO OU VENTILAÇÃO. AF_12/2014</t>
    </r>
  </si>
  <si>
    <r>
      <rPr>
        <sz val="7"/>
        <rFont val="Arial"/>
        <family val="2"/>
      </rPr>
      <t>13.9</t>
    </r>
  </si>
  <si>
    <r>
      <rPr>
        <sz val="7"/>
        <rFont val="Arial"/>
        <family val="2"/>
      </rPr>
      <t>89724</t>
    </r>
  </si>
  <si>
    <r>
      <rPr>
        <sz val="7"/>
        <rFont val="Arial"/>
        <family val="2"/>
      </rPr>
      <t>JOELHO 90 GRAUS, PVC, SERIE NORMAL, ESGOTO PREDIAL, DN 40 MM, JUNTA SOLDÁVEL, FORNECIDO E INSTALADO EM RAMAL DE DESCARGA OU RAMAL DE ESGOTO SANITÁRIO. AF_12/2014</t>
    </r>
  </si>
  <si>
    <r>
      <rPr>
        <sz val="7"/>
        <rFont val="Arial"/>
        <family val="2"/>
      </rPr>
      <t>13.10</t>
    </r>
  </si>
  <si>
    <r>
      <rPr>
        <sz val="7"/>
        <rFont val="Arial"/>
        <family val="2"/>
      </rPr>
      <t>89809</t>
    </r>
  </si>
  <si>
    <r>
      <rPr>
        <sz val="7"/>
        <rFont val="Arial"/>
        <family val="2"/>
      </rPr>
      <t>JOELHO 90 GRAUS, PVC, SERIE NORMAL, ESGOTO PREDIAL, DN 100 MM, JUNTA ELÁSTICA, FORNECIDO E INSTALADO EM PRUMADA DE ESGOTO SANITÁRIO OU VENTILAÇÃO. AF_12/2014</t>
    </r>
  </si>
  <si>
    <r>
      <rPr>
        <sz val="7"/>
        <rFont val="Arial"/>
        <family val="2"/>
      </rPr>
      <t>13.11</t>
    </r>
  </si>
  <si>
    <r>
      <rPr>
        <sz val="7"/>
        <rFont val="Arial"/>
        <family val="2"/>
      </rPr>
      <t>89801</t>
    </r>
  </si>
  <si>
    <r>
      <rPr>
        <sz val="7"/>
        <rFont val="Arial"/>
        <family val="2"/>
      </rPr>
      <t>JOELHO 90 GRAUS, PVC, SERIE NORMAL, ESGOTO PREDIAL, DN 50 MM, JUNTA ELÁSTICA, FORNECIDO E INSTALADO EM PRUMADA DE ESGOTO SANITÁRIO OU VENTILAÇÃO. AF_12/2014</t>
    </r>
  </si>
  <si>
    <r>
      <rPr>
        <sz val="7"/>
        <rFont val="Arial"/>
        <family val="2"/>
      </rPr>
      <t>13.12</t>
    </r>
  </si>
  <si>
    <r>
      <rPr>
        <sz val="7"/>
        <rFont val="Arial"/>
        <family val="2"/>
      </rPr>
      <t>C3586</t>
    </r>
  </si>
  <si>
    <r>
      <rPr>
        <sz val="7"/>
        <rFont val="Arial"/>
        <family val="2"/>
      </rPr>
      <t>CAIXA SIFONADA 150X150X50cm COM GRELHA - PADRÃO POPULAR</t>
    </r>
  </si>
  <si>
    <r>
      <rPr>
        <sz val="7"/>
        <rFont val="Arial"/>
        <family val="2"/>
      </rPr>
      <t>13.13</t>
    </r>
  </si>
  <si>
    <r>
      <rPr>
        <sz val="7"/>
        <rFont val="Arial"/>
        <family val="2"/>
      </rPr>
      <t>C4923</t>
    </r>
  </si>
  <si>
    <r>
      <rPr>
        <sz val="7"/>
        <rFont val="Arial"/>
        <family val="2"/>
      </rPr>
      <t>CAIXA SIFONADA PVC 100 X 100 X 50MM, ACABAMENTO BRANCO (GRELHA OU TAMPA CEGA)</t>
    </r>
  </si>
  <si>
    <r>
      <rPr>
        <sz val="7"/>
        <rFont val="Arial"/>
        <family val="2"/>
      </rPr>
      <t>13.14</t>
    </r>
  </si>
  <si>
    <r>
      <rPr>
        <sz val="7"/>
        <rFont val="Arial"/>
        <family val="2"/>
      </rPr>
      <t>C2347</t>
    </r>
  </si>
  <si>
    <r>
      <rPr>
        <sz val="7"/>
        <rFont val="Arial"/>
        <family val="2"/>
      </rPr>
      <t>TÊ PVC BRANCO C/REDUÇÃO P/ESGOTO D=100X50mm (4"X2")</t>
    </r>
  </si>
  <si>
    <r>
      <rPr>
        <b/>
        <sz val="7"/>
        <rFont val="Arial"/>
        <family val="2"/>
      </rPr>
      <t>14</t>
    </r>
  </si>
  <si>
    <r>
      <rPr>
        <b/>
        <sz val="7"/>
        <rFont val="Arial"/>
        <family val="2"/>
      </rPr>
      <t>INSTALAÇÕES ELÉTRICAS</t>
    </r>
  </si>
  <si>
    <r>
      <rPr>
        <sz val="7"/>
        <rFont val="Arial"/>
        <family val="2"/>
      </rPr>
      <t>14.1</t>
    </r>
  </si>
  <si>
    <r>
      <rPr>
        <sz val="7"/>
        <rFont val="Arial"/>
        <family val="2"/>
      </rPr>
      <t>14.2</t>
    </r>
  </si>
  <si>
    <r>
      <rPr>
        <sz val="7"/>
        <rFont val="Arial"/>
        <family val="2"/>
      </rPr>
      <t>91835</t>
    </r>
  </si>
  <si>
    <r>
      <rPr>
        <sz val="7"/>
        <rFont val="Arial"/>
        <family val="2"/>
      </rPr>
      <t>ELETRODUTO FLEXÍVEL CORRUGADO REFORÇADO, PVC, DN 25 MM (3/4"), PARA CIRCUITOS TERMINAIS, INSTALADO EM FORRO - FORNECIMENTO E INSTALAÇÃO. AF_12/2015</t>
    </r>
  </si>
  <si>
    <r>
      <rPr>
        <sz val="7"/>
        <rFont val="Arial"/>
        <family val="2"/>
      </rPr>
      <t>14.3</t>
    </r>
  </si>
  <si>
    <r>
      <rPr>
        <sz val="7"/>
        <rFont val="Arial"/>
        <family val="2"/>
      </rPr>
      <t>91867</t>
    </r>
  </si>
  <si>
    <r>
      <rPr>
        <sz val="7"/>
        <rFont val="Arial"/>
        <family val="2"/>
      </rPr>
      <t>ELETRODUTO RÍGIDO ROSCÁVEL, PVC, DN 25 MM (3/4"), PARA CIRCUITOS TERMINAIS, INSTALADO EM LAJE - FORNECIMENTO E INSTALAÇÃO. AF_12/2015</t>
    </r>
  </si>
  <si>
    <r>
      <rPr>
        <sz val="7"/>
        <rFont val="Arial"/>
        <family val="2"/>
      </rPr>
      <t>14.4</t>
    </r>
  </si>
  <si>
    <r>
      <rPr>
        <sz val="7"/>
        <rFont val="Arial"/>
        <family val="2"/>
      </rPr>
      <t>91865</t>
    </r>
  </si>
  <si>
    <r>
      <rPr>
        <sz val="7"/>
        <rFont val="Arial"/>
        <family val="2"/>
      </rPr>
      <t>ELETRODUTO RÍGIDO ROSCÁVEL, PVC, DN 40 MM (1 1/4"), PARA CIRCUITOS TERMINAIS, INSTALADO EM FORRO - FORNECIMENTO E INSTALAÇÃO. AF_12/2015</t>
    </r>
  </si>
  <si>
    <r>
      <rPr>
        <sz val="7"/>
        <rFont val="Arial"/>
        <family val="2"/>
      </rPr>
      <t>14.5</t>
    </r>
  </si>
  <si>
    <r>
      <rPr>
        <sz val="7"/>
        <rFont val="Arial"/>
        <family val="2"/>
      </rPr>
      <t>C1020</t>
    </r>
  </si>
  <si>
    <r>
      <rPr>
        <sz val="7"/>
        <rFont val="Arial"/>
        <family val="2"/>
      </rPr>
      <t>CURVA P/ELETRODUTO PVC ROSC. D= 25mm (3/4")</t>
    </r>
  </si>
  <si>
    <r>
      <rPr>
        <sz val="7"/>
        <rFont val="Arial"/>
        <family val="2"/>
      </rPr>
      <t>14.6</t>
    </r>
  </si>
  <si>
    <r>
      <rPr>
        <sz val="7"/>
        <rFont val="Arial"/>
        <family val="2"/>
      </rPr>
      <t>C2062</t>
    </r>
  </si>
  <si>
    <r>
      <rPr>
        <sz val="7"/>
        <rFont val="Arial"/>
        <family val="2"/>
      </rPr>
      <t>QUADRO DE DISTRIBUIÇÃO GERAL BAIXA TENSÃO, C/ACESSÓRIOS - 1UN DE MEDIÇÃO</t>
    </r>
  </si>
  <si>
    <r>
      <rPr>
        <sz val="7"/>
        <rFont val="Arial"/>
        <family val="2"/>
      </rPr>
      <t>14.7</t>
    </r>
  </si>
  <si>
    <r>
      <rPr>
        <sz val="7"/>
        <rFont val="Arial"/>
        <family val="2"/>
      </rPr>
      <t>74130/001</t>
    </r>
  </si>
  <si>
    <r>
      <rPr>
        <sz val="7"/>
        <rFont val="Arial"/>
        <family val="2"/>
      </rPr>
      <t>DISJUNTOR TERMOMAGNETICO MONOPOLAR PADRAO NEMA (AMERICANO) 10 A 30A 240V, FORNECIMENTO E INSTALACAO</t>
    </r>
  </si>
  <si>
    <r>
      <rPr>
        <sz val="7"/>
        <rFont val="Arial"/>
        <family val="2"/>
      </rPr>
      <t>14.8</t>
    </r>
  </si>
  <si>
    <r>
      <rPr>
        <sz val="7"/>
        <rFont val="Arial"/>
        <family val="2"/>
      </rPr>
      <t>92000</t>
    </r>
  </si>
  <si>
    <r>
      <rPr>
        <sz val="7"/>
        <rFont val="Arial"/>
        <family val="2"/>
      </rPr>
      <t>TOMADA BAIXA DE EMBUTIR (1 MÓDULO), 2P+T 10 A, INCLUINDO SUPORTE E PLACA - FORNECIMENTO E INSTALAÇÃO. AF_12/2015</t>
    </r>
  </si>
  <si>
    <r>
      <rPr>
        <sz val="7"/>
        <rFont val="Arial"/>
        <family val="2"/>
      </rPr>
      <t>14.9</t>
    </r>
  </si>
  <si>
    <r>
      <rPr>
        <sz val="7"/>
        <rFont val="Arial"/>
        <family val="2"/>
      </rPr>
      <t>91981</t>
    </r>
  </si>
  <si>
    <r>
      <rPr>
        <sz val="7"/>
        <rFont val="Arial"/>
        <family val="2"/>
      </rPr>
      <t>INTERRUPTOR BIPOLAR (1 MÓDULO), 10A/250V, INCLUINDO SUPORTE E PLACA - FORNECIMENTO E INSTALAÇÃO. AF_09/2017</t>
    </r>
  </si>
  <si>
    <r>
      <rPr>
        <sz val="7"/>
        <rFont val="Arial"/>
        <family val="2"/>
      </rPr>
      <t>14.10</t>
    </r>
  </si>
  <si>
    <r>
      <rPr>
        <sz val="7"/>
        <rFont val="Arial"/>
        <family val="2"/>
      </rPr>
      <t>91926</t>
    </r>
  </si>
  <si>
    <r>
      <rPr>
        <sz val="7"/>
        <rFont val="Arial"/>
        <family val="2"/>
      </rPr>
      <t>CABO DE COBRE FLEXÍVEL ISOLADO, 2,5 MM², ANTI-CHAMA 450/750 V, PARA CIRCUITOS TERMINAIS - FORNECIMENTO E INSTALAÇÃO. AF_12/2015</t>
    </r>
  </si>
  <si>
    <r>
      <rPr>
        <sz val="7"/>
        <rFont val="Arial"/>
        <family val="2"/>
      </rPr>
      <t>14.11</t>
    </r>
  </si>
  <si>
    <r>
      <rPr>
        <sz val="7"/>
        <rFont val="Arial"/>
        <family val="2"/>
      </rPr>
      <t>92984</t>
    </r>
  </si>
  <si>
    <r>
      <rPr>
        <sz val="7"/>
        <rFont val="Arial"/>
        <family val="2"/>
      </rPr>
      <t>CABO DE COBRE FLEXÍVEL ISOLADO, 25 MM², ANTI-CHAMA 0,6/1,0 KV, PARA DISTRIBUIÇÃO - FORNECIMENTO E INSTALAÇÃO. AF_12/2015</t>
    </r>
  </si>
  <si>
    <r>
      <rPr>
        <sz val="7"/>
        <rFont val="Arial"/>
        <family val="2"/>
      </rPr>
      <t>14.12</t>
    </r>
  </si>
  <si>
    <r>
      <rPr>
        <sz val="7"/>
        <rFont val="Arial"/>
        <family val="2"/>
      </rPr>
      <t>C4101</t>
    </r>
  </si>
  <si>
    <r>
      <rPr>
        <sz val="7"/>
        <rFont val="Arial"/>
        <family val="2"/>
      </rPr>
      <t>LUMINÁRIA DE EMBUTIR COM ANEL DE ARREMATE EM ALUMÍNIO ANODIZADO E PINTADO POR PROCESSO ELETROSTÁTICO COM REFLETOR EM ALUMÍNIO ANODIZADO ALTO BRILHO COM CONTROLE ANTIOFUSCAMENTO PARA LÂMPADA FLUORESCENTE COMPACTA DE 26W</t>
    </r>
  </si>
  <si>
    <r>
      <rPr>
        <sz val="7"/>
        <rFont val="Arial"/>
        <family val="2"/>
      </rPr>
      <t>14.13</t>
    </r>
  </si>
  <si>
    <r>
      <rPr>
        <sz val="7"/>
        <rFont val="Arial"/>
        <family val="2"/>
      </rPr>
      <t>14.14</t>
    </r>
  </si>
  <si>
    <r>
      <rPr>
        <sz val="7"/>
        <rFont val="Arial"/>
        <family val="2"/>
      </rPr>
      <t>C4412</t>
    </r>
  </si>
  <si>
    <r>
      <rPr>
        <sz val="7"/>
        <rFont val="Arial"/>
        <family val="2"/>
      </rPr>
      <t>LUMINÁRIA DE PISO MÓVEL, CORPO EM ALUMÍNIO, REFLETOR EM ALUMÍNIO ANODIZADO COM PROTETOR DE VIDRO EM GRADE DE ALUMÍNIO</t>
    </r>
  </si>
  <si>
    <r>
      <rPr>
        <b/>
        <sz val="7"/>
        <rFont val="Arial"/>
        <family val="2"/>
      </rPr>
      <t>15</t>
    </r>
  </si>
  <si>
    <r>
      <rPr>
        <b/>
        <sz val="7"/>
        <rFont val="Arial"/>
        <family val="2"/>
      </rPr>
      <t>LOUÇAS E METAIS</t>
    </r>
  </si>
  <si>
    <r>
      <rPr>
        <sz val="7"/>
        <rFont val="Arial"/>
        <family val="2"/>
      </rPr>
      <t>15.1</t>
    </r>
  </si>
  <si>
    <r>
      <rPr>
        <sz val="7"/>
        <rFont val="Arial"/>
        <family val="2"/>
      </rPr>
      <t>C0357</t>
    </r>
  </si>
  <si>
    <r>
      <rPr>
        <sz val="7"/>
        <rFont val="Arial"/>
        <family val="2"/>
      </rPr>
      <t>BANCADA DE GRANITO (OUTRAS CORES) E= 3cm (COLOCADO)</t>
    </r>
  </si>
  <si>
    <r>
      <rPr>
        <sz val="7"/>
        <rFont val="Arial"/>
        <family val="2"/>
      </rPr>
      <t>15.2</t>
    </r>
  </si>
  <si>
    <r>
      <rPr>
        <sz val="7"/>
        <rFont val="Arial"/>
        <family val="2"/>
      </rPr>
      <t>190247</t>
    </r>
  </si>
  <si>
    <r>
      <rPr>
        <sz val="7"/>
        <rFont val="Arial"/>
        <family val="2"/>
      </rPr>
      <t xml:space="preserve">VASO SANITARIO CONVENCIONAL BRANC0 IBIZA 15300 - INCEPA </t>
    </r>
  </si>
  <si>
    <r>
      <rPr>
        <sz val="7"/>
        <rFont val="Arial"/>
        <family val="2"/>
      </rPr>
      <t>15.3</t>
    </r>
  </si>
  <si>
    <r>
      <rPr>
        <sz val="7"/>
        <rFont val="Arial"/>
        <family val="2"/>
      </rPr>
      <t>95545</t>
    </r>
  </si>
  <si>
    <r>
      <rPr>
        <sz val="7"/>
        <rFont val="Arial"/>
        <family val="2"/>
      </rPr>
      <t>SABONETEIRA DE PAREDE EM METAL CROMADO, INCLUSO FIXAÇÃO. AF_10/2016</t>
    </r>
  </si>
  <si>
    <r>
      <rPr>
        <sz val="7"/>
        <rFont val="Arial"/>
        <family val="2"/>
      </rPr>
      <t>15.4</t>
    </r>
  </si>
  <si>
    <r>
      <rPr>
        <sz val="7"/>
        <rFont val="Arial"/>
        <family val="2"/>
      </rPr>
      <t>95542</t>
    </r>
  </si>
  <si>
    <r>
      <rPr>
        <sz val="7"/>
        <rFont val="Arial"/>
        <family val="2"/>
      </rPr>
      <t>PORTA TOALHA ROSTO EM METAL CROMADO, TIPO ARGOLA, INCLUSO FIXAÇÃO. AF_10/2016</t>
    </r>
  </si>
  <si>
    <r>
      <rPr>
        <sz val="7"/>
        <rFont val="Arial"/>
        <family val="2"/>
      </rPr>
      <t>15.5</t>
    </r>
  </si>
  <si>
    <r>
      <rPr>
        <sz val="7"/>
        <rFont val="Arial"/>
        <family val="2"/>
      </rPr>
      <t>PEÇAS DE APOIO DEFICIENTES C/TUBO INOX P/WC'S</t>
    </r>
  </si>
  <si>
    <r>
      <rPr>
        <sz val="7"/>
        <rFont val="Arial"/>
        <family val="2"/>
      </rPr>
      <t>15.6</t>
    </r>
  </si>
  <si>
    <r>
      <rPr>
        <sz val="7"/>
        <rFont val="Arial"/>
        <family val="2"/>
      </rPr>
      <t>15.7</t>
    </r>
  </si>
  <si>
    <r>
      <rPr>
        <sz val="7"/>
        <rFont val="Arial"/>
        <family val="2"/>
      </rPr>
      <t>15.8</t>
    </r>
  </si>
  <si>
    <r>
      <rPr>
        <sz val="7"/>
        <rFont val="Arial"/>
        <family val="2"/>
      </rPr>
      <t>C1151</t>
    </r>
  </si>
  <si>
    <r>
      <rPr>
        <sz val="7"/>
        <rFont val="Arial"/>
        <family val="2"/>
      </rPr>
      <t>DUCHA P/ WC CROMADO (INSTALADO)</t>
    </r>
  </si>
  <si>
    <r>
      <rPr>
        <sz val="7"/>
        <rFont val="Arial"/>
        <family val="2"/>
      </rPr>
      <t>15.9</t>
    </r>
  </si>
  <si>
    <r>
      <rPr>
        <sz val="7"/>
        <rFont val="Arial"/>
        <family val="2"/>
      </rPr>
      <t>C4000</t>
    </r>
  </si>
  <si>
    <r>
      <rPr>
        <sz val="7"/>
        <rFont val="Arial"/>
        <family val="2"/>
      </rPr>
      <t>TORNEIRA TIPO JARDIM CROMADA</t>
    </r>
  </si>
  <si>
    <r>
      <rPr>
        <sz val="7"/>
        <rFont val="Arial"/>
        <family val="2"/>
      </rPr>
      <t>15.10</t>
    </r>
  </si>
  <si>
    <r>
      <rPr>
        <sz val="7"/>
        <rFont val="Arial"/>
        <family val="2"/>
      </rPr>
      <t>86909</t>
    </r>
  </si>
  <si>
    <r>
      <rPr>
        <sz val="7"/>
        <rFont val="Arial"/>
        <family val="2"/>
      </rPr>
      <t>TORNEIRA CROMADA TUBO MÓVEL, DE MESA, 1/2" OU 3/4", PARA PIA DE COZINHA, PADRÃO ALTO - FORNECIMENTO E INSTALAÇÃO. AF_12/2013</t>
    </r>
  </si>
  <si>
    <r>
      <rPr>
        <sz val="7"/>
        <rFont val="Arial"/>
        <family val="2"/>
      </rPr>
      <t>15.11</t>
    </r>
  </si>
  <si>
    <r>
      <rPr>
        <sz val="7"/>
        <rFont val="Arial"/>
        <family val="2"/>
      </rPr>
      <t>15.12</t>
    </r>
  </si>
  <si>
    <r>
      <rPr>
        <b/>
        <sz val="7"/>
        <rFont val="Arial"/>
        <family val="2"/>
      </rPr>
      <t>16</t>
    </r>
  </si>
  <si>
    <r>
      <rPr>
        <b/>
        <sz val="7"/>
        <rFont val="Arial"/>
        <family val="2"/>
      </rPr>
      <t>SERVIÇOS DIVERSOS</t>
    </r>
  </si>
  <si>
    <r>
      <rPr>
        <sz val="7"/>
        <rFont val="Arial"/>
        <family val="2"/>
      </rPr>
      <t>16.1</t>
    </r>
  </si>
  <si>
    <r>
      <rPr>
        <sz val="7"/>
        <rFont val="Arial"/>
        <family val="2"/>
      </rPr>
      <t>210023</t>
    </r>
  </si>
  <si>
    <r>
      <rPr>
        <sz val="7"/>
        <rFont val="Arial"/>
        <family val="2"/>
      </rPr>
      <t>LIMPEZA FINAL DE OBRAS</t>
    </r>
  </si>
  <si>
    <r>
      <rPr>
        <b/>
        <sz val="6"/>
        <rFont val="Arial"/>
        <family val="2"/>
      </rPr>
      <t>VALOR ORÇAMENTO:</t>
    </r>
  </si>
  <si>
    <r>
      <rPr>
        <b/>
        <sz val="6"/>
        <rFont val="Arial"/>
        <family val="2"/>
      </rPr>
      <t>VALOR BDI TOTAL:</t>
    </r>
  </si>
  <si>
    <r>
      <rPr>
        <b/>
        <sz val="6"/>
        <rFont val="Arial"/>
        <family val="2"/>
      </rPr>
      <t>VALOR TOTAL:</t>
    </r>
  </si>
  <si>
    <t xml:space="preserve">TABELA </t>
  </si>
  <si>
    <t>C1609</t>
  </si>
  <si>
    <t>LASTRO DE CONCRETO INCLUINDO PREPARO E LANÇAMENTO</t>
  </si>
  <si>
    <t>SEINFRA</t>
  </si>
  <si>
    <t>C1463</t>
  </si>
  <si>
    <t>IMPERMEABILIZAÇÃO DE CALHA, VIGA-CALHA, JARDINEIRA C/MANTA ASFÁLTICA .AUTO-ADESIVA</t>
  </si>
  <si>
    <t>IMPERMEABILIZAÇÃO C/ IMPERMEABILIZANTE ESTRUTURAL E APLICAÇÃO DE MEMBRANA DE BASE ACRÍLICA</t>
  </si>
  <si>
    <t>C1458</t>
  </si>
  <si>
    <t>M2</t>
  </si>
  <si>
    <t>C1971</t>
  </si>
  <si>
    <t>PORTA DE VIDRO TEMPERADO  2 FOLHAS (1.80X2.10)m  E=10mm</t>
  </si>
  <si>
    <t>CJ</t>
  </si>
  <si>
    <t>C1518</t>
  </si>
  <si>
    <t>JANELA DE FERRO TIPO CAIXILHO DE CORRER OU MAXIMAR</t>
  </si>
  <si>
    <t>CALHA EM CONCRETO SIMPLES, EM MEIA CANA DE CONCRETO, DIAMETRO 600 MM</t>
  </si>
  <si>
    <t>73882/005</t>
  </si>
  <si>
    <t>SINAPI</t>
  </si>
  <si>
    <t>C0773</t>
  </si>
  <si>
    <t>CHAPIM PRÉ-MOLDADO DE CONCRETO</t>
  </si>
  <si>
    <t>C2667</t>
  </si>
  <si>
    <t>VERNIZ 3 DEMÃOS EM ESQUADRIAS DE MADEIRA</t>
  </si>
  <si>
    <t>PORCELANATO RETIFICADO NATURAL (FOSCO) C/ ARG. PRÉ-FABRICADA - P/ PAREDE</t>
  </si>
  <si>
    <t>C4447</t>
  </si>
  <si>
    <t>C4446</t>
  </si>
  <si>
    <t>PORCELANATO RETIFICADO POLIDO C/ ARG. PRÉ-FABRICADA - P/ PAREDE</t>
  </si>
  <si>
    <t>EMASSAMENTO DE PAREDES INTERNAS 2 DEMÃOS C/MASSA DE PVA</t>
  </si>
  <si>
    <t>C1208</t>
  </si>
  <si>
    <r>
      <rPr>
        <sz val="7"/>
        <rFont val="Arial"/>
        <family val="2"/>
      </rPr>
      <t>10.7</t>
    </r>
    <r>
      <rPr>
        <sz val="11"/>
        <color theme="1"/>
        <rFont val="Calibri"/>
        <family val="2"/>
        <scheme val="minor"/>
      </rPr>
      <t/>
    </r>
  </si>
  <si>
    <r>
      <rPr>
        <sz val="7"/>
        <rFont val="Arial"/>
        <family val="2"/>
      </rPr>
      <t>10.8</t>
    </r>
    <r>
      <rPr>
        <sz val="11"/>
        <color theme="1"/>
        <rFont val="Calibri"/>
        <family val="2"/>
        <scheme val="minor"/>
      </rPr>
      <t/>
    </r>
  </si>
  <si>
    <r>
      <rPr>
        <sz val="7"/>
        <rFont val="Arial"/>
        <family val="2"/>
      </rPr>
      <t>10.9</t>
    </r>
    <r>
      <rPr>
        <sz val="11"/>
        <color theme="1"/>
        <rFont val="Calibri"/>
        <family val="2"/>
        <scheme val="minor"/>
      </rPr>
      <t/>
    </r>
  </si>
  <si>
    <r>
      <rPr>
        <sz val="7"/>
        <rFont val="Arial"/>
        <family val="2"/>
      </rPr>
      <t>10.10</t>
    </r>
    <r>
      <rPr>
        <sz val="11"/>
        <color theme="1"/>
        <rFont val="Calibri"/>
        <family val="2"/>
        <scheme val="minor"/>
      </rPr>
      <t/>
    </r>
  </si>
  <si>
    <r>
      <rPr>
        <sz val="7"/>
        <rFont val="Arial"/>
        <family val="2"/>
      </rPr>
      <t>10.11</t>
    </r>
    <r>
      <rPr>
        <sz val="11"/>
        <color theme="1"/>
        <rFont val="Calibri"/>
        <family val="2"/>
        <scheme val="minor"/>
      </rPr>
      <t/>
    </r>
  </si>
  <si>
    <r>
      <rPr>
        <sz val="7"/>
        <rFont val="Arial"/>
        <family val="2"/>
      </rPr>
      <t>10.12</t>
    </r>
    <r>
      <rPr>
        <sz val="11"/>
        <color theme="1"/>
        <rFont val="Calibri"/>
        <family val="2"/>
        <scheme val="minor"/>
      </rPr>
      <t/>
    </r>
  </si>
  <si>
    <t>C1427</t>
  </si>
  <si>
    <t>REJUNTAMENTO C/ ARG. PRÉ-FABRICADA, JUNTA ENTRE 2mm E 6mm EM CERÂMICA, ACIMA DE 30x30 cm (900 cm²) E PORCELANATOS (PAREDE/PISO)</t>
  </si>
  <si>
    <t>C4441</t>
  </si>
  <si>
    <t>PORCELANATO RETIFICADO NATURAL (FOSCO) C/ ARG. CIMENTO E AREIA P/ PISO</t>
  </si>
  <si>
    <r>
      <rPr>
        <sz val="7"/>
        <rFont val="Arial"/>
        <family val="2"/>
      </rPr>
      <t>11.5</t>
    </r>
    <r>
      <rPr>
        <sz val="11"/>
        <color theme="1"/>
        <rFont val="Calibri"/>
        <family val="2"/>
        <scheme val="minor"/>
      </rPr>
      <t/>
    </r>
  </si>
  <si>
    <t>M</t>
  </si>
  <si>
    <t>C2618</t>
  </si>
  <si>
    <t>TUBO PVC SOLD. MARROM D= 40mm (1 1/4")</t>
  </si>
  <si>
    <t>C2617</t>
  </si>
  <si>
    <t>TUBO PVC SOLD. MARROM D= 32mm (1")</t>
  </si>
  <si>
    <t>C2616</t>
  </si>
  <si>
    <t>TUBO PVC SOLD. MARROM D= 25mm (3/4")</t>
  </si>
  <si>
    <t>JOELHO 90 GRAUS, PVC, SOLDÁVEL, DN 25MM, INSTALADO EM RAMAL OU SUB-RAMAL DE ÁGUA - FORNECIMENTO E INSTALAÇÃO. AF_12/2014</t>
  </si>
  <si>
    <t>JOELHO 90 GRAUS, PVC, SOLDÁVEL, DN 32MM, INSTALADO EM RAMAL OU SUB-RAMAL DE ÁGUA - FORNECIMENTO E INSTALAÇÃO. AF_12/2014</t>
  </si>
  <si>
    <t>JOELHO 90 GRAUS, PVC, SOLDÁVEL, DN 40MM, INSTALADO EM PRUMADA DE ÁGUA - FORNECIMENTO E INSTALAÇÃO. AF_12/2014</t>
  </si>
  <si>
    <t>TORNEIRA DE BOIA, ROSCÁVEL, 3/4 , FORNECIDA E INSTALADA EM RESERVAÇÃO DE ÁGUA. AF_06/2016</t>
  </si>
  <si>
    <t>C1242</t>
  </si>
  <si>
    <t>ENGATE PLÁSTICO (INSTALADO)</t>
  </si>
  <si>
    <t>C2593</t>
  </si>
  <si>
    <t>TUBO PVC BRANCO P/ESGOTO D=100MM (4')</t>
  </si>
  <si>
    <t>C0325</t>
  </si>
  <si>
    <t>ATERRAMENTO COMPLETO C/ HASTE COPPERWELD 3/4" X 3.0M</t>
  </si>
  <si>
    <t>C4804</t>
  </si>
  <si>
    <t>LUMINÁRIA DE SOBREPOR/EMBUTIR RETANGULAR EM ALUMÍNIO LACADO (ANODIZADO) COM REFLETOR EM ALUMÍNIO ESPELHO, PARA 2 LED'S TUBULAR T5 DE 10W, TONALIDADE 5000K, COR BRANCA, GRAU DE PROTEÇÃO IP20 E 1 LED DRIVER - COMPLETA</t>
  </si>
  <si>
    <t>C2272</t>
  </si>
  <si>
    <t>SIFÃO DE PVC RÍGIDO D= 2"  (INSTALADO)</t>
  </si>
  <si>
    <t>TANQUE DE AÇO INOXIDÁVEL</t>
  </si>
  <si>
    <t/>
  </si>
  <si>
    <r>
      <rPr>
        <b/>
        <sz val="8"/>
        <rFont val="Arial"/>
        <family val="2"/>
      </rPr>
      <t>1.1. C1937 - PLACAS PADRÃO DE OBRA (M2)</t>
    </r>
  </si>
  <si>
    <r>
      <rPr>
        <b/>
        <sz val="6"/>
        <rFont val="Calibri"/>
        <family val="2"/>
      </rPr>
      <t>MAO DE OBRA</t>
    </r>
  </si>
  <si>
    <r>
      <rPr>
        <b/>
        <sz val="6"/>
        <rFont val="Arial"/>
        <family val="2"/>
      </rPr>
      <t>FONTE</t>
    </r>
  </si>
  <si>
    <r>
      <rPr>
        <b/>
        <sz val="6"/>
        <rFont val="Arial"/>
        <family val="2"/>
      </rPr>
      <t>UNID</t>
    </r>
  </si>
  <si>
    <r>
      <rPr>
        <b/>
        <sz val="6"/>
        <rFont val="Arial"/>
        <family val="2"/>
      </rPr>
      <t>COEFICIENTE</t>
    </r>
  </si>
  <si>
    <r>
      <rPr>
        <b/>
        <sz val="6"/>
        <rFont val="Arial"/>
        <family val="2"/>
      </rPr>
      <t>PREÇO UNITÁRIO</t>
    </r>
  </si>
  <si>
    <r>
      <rPr>
        <b/>
        <sz val="6"/>
        <rFont val="Arial"/>
        <family val="2"/>
      </rPr>
      <t>TOTAL</t>
    </r>
  </si>
  <si>
    <r>
      <rPr>
        <sz val="7"/>
        <rFont val="Calibri"/>
        <family val="2"/>
      </rPr>
      <t>I2543</t>
    </r>
  </si>
  <si>
    <r>
      <rPr>
        <sz val="7"/>
        <rFont val="Calibri"/>
        <family val="2"/>
      </rPr>
      <t>SERVENTE</t>
    </r>
  </si>
  <si>
    <r>
      <rPr>
        <sz val="7"/>
        <rFont val="Calibri"/>
        <family val="2"/>
      </rPr>
      <t>SEINFRA</t>
    </r>
  </si>
  <si>
    <r>
      <rPr>
        <sz val="7"/>
        <rFont val="Calibri"/>
        <family val="2"/>
      </rPr>
      <t>H</t>
    </r>
  </si>
  <si>
    <r>
      <rPr>
        <b/>
        <sz val="6"/>
        <rFont val="Calibri"/>
        <family val="2"/>
      </rPr>
      <t>TOTAL MAO DE OBRA:</t>
    </r>
  </si>
  <si>
    <r>
      <rPr>
        <b/>
        <sz val="6"/>
        <rFont val="Calibri"/>
        <family val="2"/>
      </rPr>
      <t>MATERIAL</t>
    </r>
  </si>
  <si>
    <r>
      <rPr>
        <sz val="7"/>
        <rFont val="Calibri"/>
        <family val="2"/>
      </rPr>
      <t>I0537</t>
    </r>
  </si>
  <si>
    <r>
      <rPr>
        <sz val="7"/>
        <rFont val="Calibri"/>
        <family val="2"/>
      </rPr>
      <t>CHAPA DE AÇO GALVANIZADA ESP. 0.3MM</t>
    </r>
  </si>
  <si>
    <r>
      <rPr>
        <sz val="7"/>
        <rFont val="Calibri"/>
        <family val="2"/>
      </rPr>
      <t>M2</t>
    </r>
  </si>
  <si>
    <r>
      <rPr>
        <sz val="7"/>
        <rFont val="Calibri"/>
        <family val="2"/>
      </rPr>
      <t>I1100</t>
    </r>
  </si>
  <si>
    <r>
      <rPr>
        <sz val="7"/>
        <rFont val="Calibri"/>
        <family val="2"/>
      </rPr>
      <t>ESMALTE SINTETICO</t>
    </r>
  </si>
  <si>
    <r>
      <rPr>
        <sz val="7"/>
        <rFont val="Calibri"/>
        <family val="2"/>
      </rPr>
      <t>L</t>
    </r>
  </si>
  <si>
    <r>
      <rPr>
        <sz val="7"/>
        <rFont val="Calibri"/>
        <family val="2"/>
      </rPr>
      <t>I1691</t>
    </r>
  </si>
  <si>
    <r>
      <rPr>
        <sz val="7"/>
        <rFont val="Calibri"/>
        <family val="2"/>
      </rPr>
      <t>PONTALETE / BARROTE DE 3"x3"</t>
    </r>
  </si>
  <si>
    <r>
      <rPr>
        <sz val="7"/>
        <rFont val="Calibri"/>
        <family val="2"/>
      </rPr>
      <t>M</t>
    </r>
  </si>
  <si>
    <r>
      <rPr>
        <sz val="7"/>
        <rFont val="Calibri"/>
        <family val="2"/>
      </rPr>
      <t>I1725</t>
    </r>
  </si>
  <si>
    <r>
      <rPr>
        <sz val="7"/>
        <rFont val="Calibri"/>
        <family val="2"/>
      </rPr>
      <t>PREGO 15X15</t>
    </r>
  </si>
  <si>
    <r>
      <rPr>
        <sz val="7"/>
        <rFont val="Calibri"/>
        <family val="2"/>
      </rPr>
      <t>KG</t>
    </r>
  </si>
  <si>
    <r>
      <rPr>
        <b/>
        <sz val="6"/>
        <rFont val="Calibri"/>
        <family val="2"/>
      </rPr>
      <t>TOTAL MATERIAL:</t>
    </r>
  </si>
  <si>
    <r>
      <rPr>
        <b/>
        <sz val="7"/>
        <rFont val="Arial"/>
        <family val="2"/>
      </rPr>
      <t>VALOR SEM ENCARGOS:</t>
    </r>
  </si>
  <si>
    <r>
      <rPr>
        <b/>
        <sz val="7"/>
        <rFont val="Arial"/>
        <family val="2"/>
      </rPr>
      <t>VALOR ENCARGOS (85.20%):</t>
    </r>
  </si>
  <si>
    <r>
      <rPr>
        <b/>
        <sz val="7"/>
        <rFont val="Arial"/>
        <family val="2"/>
      </rPr>
      <t>VALOR COM ENCARGOS:</t>
    </r>
  </si>
  <si>
    <r>
      <rPr>
        <b/>
        <sz val="7"/>
        <rFont val="Arial"/>
        <family val="2"/>
      </rPr>
      <t>VALOR BDI (24.28%):</t>
    </r>
  </si>
  <si>
    <r>
      <rPr>
        <b/>
        <sz val="7"/>
        <rFont val="Arial"/>
        <family val="2"/>
      </rPr>
      <t>VALOR COM BDI:</t>
    </r>
  </si>
  <si>
    <r>
      <rPr>
        <b/>
        <sz val="8"/>
        <rFont val="Arial"/>
        <family val="2"/>
      </rPr>
      <t>1.2. 99059 - LOCACAO CONVENCIONAL DE OBRA, UTILIZANDO GABARITO DE TÁBUAS CORRIDAS PONTALETADAS A CADA 2,00M - 2 UTILIZAÇÕES. AF_10/2018 (M)</t>
    </r>
  </si>
  <si>
    <r>
      <rPr>
        <sz val="7"/>
        <rFont val="Calibri"/>
        <family val="2"/>
      </rPr>
      <t>00004417</t>
    </r>
  </si>
  <si>
    <r>
      <rPr>
        <sz val="7"/>
        <rFont val="Calibri"/>
        <family val="2"/>
      </rPr>
      <t>SARRAFO DE MADEIRA NAO APARELHADA *2,5 X 7* CM, MACARANDUBA, ANGELIM OU EQUIVALENTE DA REGIAO</t>
    </r>
  </si>
  <si>
    <r>
      <rPr>
        <sz val="7"/>
        <rFont val="Calibri"/>
        <family val="2"/>
      </rPr>
      <t>SINAPI</t>
    </r>
  </si>
  <si>
    <r>
      <rPr>
        <sz val="7"/>
        <rFont val="Calibri"/>
        <family val="2"/>
      </rPr>
      <t>00004433</t>
    </r>
  </si>
  <si>
    <r>
      <rPr>
        <sz val="7"/>
        <rFont val="Calibri"/>
        <family val="2"/>
      </rPr>
      <t>PECA DE MADEIRA NAO APARELHADA *7,5 X 7,5* CM (3 X 3 ") MACARANDUBA, ANGELIM OU EQUIVALENTE DA REGIAO</t>
    </r>
  </si>
  <si>
    <r>
      <rPr>
        <sz val="7"/>
        <rFont val="Calibri"/>
        <family val="2"/>
      </rPr>
      <t>00005068</t>
    </r>
  </si>
  <si>
    <r>
      <rPr>
        <sz val="7"/>
        <rFont val="Calibri"/>
        <family val="2"/>
      </rPr>
      <t>PREGO DE ACO POLIDO COM CABECA 17 X 21 (2 X 11)</t>
    </r>
  </si>
  <si>
    <r>
      <rPr>
        <sz val="7"/>
        <rFont val="Calibri"/>
        <family val="2"/>
      </rPr>
      <t>00007356</t>
    </r>
  </si>
  <si>
    <r>
      <rPr>
        <sz val="7"/>
        <rFont val="Calibri"/>
        <family val="2"/>
      </rPr>
      <t>TINTA ACRILICA PREMIUM, COR BRANCO FOSCO</t>
    </r>
  </si>
  <si>
    <r>
      <rPr>
        <sz val="7"/>
        <rFont val="Calibri"/>
        <family val="2"/>
      </rPr>
      <t>00010567</t>
    </r>
  </si>
  <si>
    <r>
      <rPr>
        <sz val="7"/>
        <rFont val="Calibri"/>
        <family val="2"/>
      </rPr>
      <t>TABUA DE MADEIRA NAO APARELHADA *2,5 X 23* CM (1 x 9 ") PINUS, MISTA OU EQUIVALENTE DA REGIAO</t>
    </r>
  </si>
  <si>
    <r>
      <rPr>
        <b/>
        <sz val="6"/>
        <rFont val="Calibri"/>
        <family val="2"/>
      </rPr>
      <t>SERVICO</t>
    </r>
  </si>
  <si>
    <r>
      <rPr>
        <sz val="7"/>
        <rFont val="Calibri"/>
        <family val="2"/>
      </rPr>
      <t>88239</t>
    </r>
  </si>
  <si>
    <r>
      <rPr>
        <sz val="7"/>
        <rFont val="Calibri"/>
        <family val="2"/>
      </rPr>
      <t>AJUDANTE DE CARPINTEIRO COM ENCARGOS COMPLEMENTARES</t>
    </r>
  </si>
  <si>
    <r>
      <rPr>
        <sz val="7"/>
        <rFont val="Calibri"/>
        <family val="2"/>
      </rPr>
      <t>88262</t>
    </r>
  </si>
  <si>
    <r>
      <rPr>
        <sz val="7"/>
        <rFont val="Calibri"/>
        <family val="2"/>
      </rPr>
      <t>CARPINTEIRO DE FORMAS COM ENCARGOS COMPLEMENTARES</t>
    </r>
  </si>
  <si>
    <r>
      <rPr>
        <sz val="7"/>
        <rFont val="Calibri"/>
        <family val="2"/>
      </rPr>
      <t>91692</t>
    </r>
  </si>
  <si>
    <r>
      <rPr>
        <sz val="7"/>
        <rFont val="Calibri"/>
        <family val="2"/>
      </rPr>
      <t>SERRA CIRCULAR DE BANCADA COM MOTOR ELÉTRICO POTÊNCIA DE 5HP, COM COIFA PARA DISCO 10" - CHP DIURNO. AF_08/2015</t>
    </r>
  </si>
  <si>
    <r>
      <rPr>
        <sz val="7"/>
        <rFont val="Calibri"/>
        <family val="2"/>
      </rPr>
      <t>CHP</t>
    </r>
  </si>
  <si>
    <r>
      <rPr>
        <sz val="7"/>
        <rFont val="Calibri"/>
        <family val="2"/>
      </rPr>
      <t>91693</t>
    </r>
  </si>
  <si>
    <r>
      <rPr>
        <sz val="7"/>
        <rFont val="Calibri"/>
        <family val="2"/>
      </rPr>
      <t>SERRA CIRCULAR DE BANCADA COM MOTOR ELÉTRICO POTÊNCIA DE 5HP, COM COIFA PARA DISCO 10" - CHI DIURNO. AF_08/2015</t>
    </r>
  </si>
  <si>
    <r>
      <rPr>
        <sz val="7"/>
        <rFont val="Calibri"/>
        <family val="2"/>
      </rPr>
      <t>CHI</t>
    </r>
  </si>
  <si>
    <r>
      <rPr>
        <sz val="7"/>
        <rFont val="Calibri"/>
        <family val="2"/>
      </rPr>
      <t>94974</t>
    </r>
  </si>
  <si>
    <r>
      <rPr>
        <sz val="7"/>
        <rFont val="Calibri"/>
        <family val="2"/>
      </rPr>
      <t>CONCRETO MAGRO PARA LASTRO, TRAÇO 1:4,5:4,5 (CIMENTO/ AREIA MÉDIA/ BRITA 1)  - PREPARO MANUAL. AF_07/2016</t>
    </r>
  </si>
  <si>
    <r>
      <rPr>
        <sz val="7"/>
        <rFont val="Calibri"/>
        <family val="2"/>
      </rPr>
      <t>M3</t>
    </r>
  </si>
  <si>
    <r>
      <rPr>
        <sz val="7"/>
        <rFont val="Calibri"/>
        <family val="2"/>
      </rPr>
      <t>99062</t>
    </r>
  </si>
  <si>
    <r>
      <rPr>
        <sz val="7"/>
        <rFont val="Calibri"/>
        <family val="2"/>
      </rPr>
      <t>MARCAÇÃO DE PONTOS EM GABARITO OU CAVALETE. AF_10/2018</t>
    </r>
  </si>
  <si>
    <r>
      <rPr>
        <sz val="7"/>
        <rFont val="Calibri"/>
        <family val="2"/>
      </rPr>
      <t>UN</t>
    </r>
  </si>
  <si>
    <r>
      <rPr>
        <b/>
        <sz val="6"/>
        <rFont val="Calibri"/>
        <family val="2"/>
      </rPr>
      <t>TOTAL SERVICO:</t>
    </r>
  </si>
  <si>
    <r>
      <rPr>
        <b/>
        <sz val="8"/>
        <rFont val="Arial"/>
        <family val="2"/>
      </rPr>
      <t>1.3. 97622 - DEMOLIÇÃO DE ALVENARIA DE BLOCO FURADO, DE FORMA MANUAL, SEM REAPROVEITAMENTO. AF_12/2017 (M3)</t>
    </r>
  </si>
  <si>
    <r>
      <rPr>
        <sz val="7"/>
        <rFont val="Calibri"/>
        <family val="2"/>
      </rPr>
      <t>88309</t>
    </r>
  </si>
  <si>
    <r>
      <rPr>
        <sz val="7"/>
        <rFont val="Calibri"/>
        <family val="2"/>
      </rPr>
      <t>PEDREIRO COM ENCARGOS COMPLEMENTARES</t>
    </r>
  </si>
  <si>
    <r>
      <rPr>
        <sz val="7"/>
        <rFont val="Calibri"/>
        <family val="2"/>
      </rPr>
      <t>88316</t>
    </r>
  </si>
  <si>
    <r>
      <rPr>
        <sz val="7"/>
        <rFont val="Calibri"/>
        <family val="2"/>
      </rPr>
      <t>SERVENTE COM ENCARGOS COMPLEMENTARES</t>
    </r>
  </si>
  <si>
    <r>
      <rPr>
        <b/>
        <sz val="8"/>
        <rFont val="Arial"/>
        <family val="2"/>
      </rPr>
      <t>1.4. C1064 - DEMOLIÇÃO DE PISO CERÂMICO (M2)</t>
    </r>
  </si>
  <si>
    <r>
      <rPr>
        <sz val="7"/>
        <rFont val="Calibri"/>
        <family val="2"/>
      </rPr>
      <t>I2391</t>
    </r>
  </si>
  <si>
    <r>
      <rPr>
        <sz val="7"/>
        <rFont val="Calibri"/>
        <family val="2"/>
      </rPr>
      <t>PEDREIRO</t>
    </r>
  </si>
  <si>
    <r>
      <rPr>
        <b/>
        <sz val="8"/>
        <rFont val="Arial"/>
        <family val="2"/>
      </rPr>
      <t>1.5. 97647 - REMOÇÃO DE TELHAS, DE FIBROCIMENTO, METÁLICA E CERÂMICA, DE FORMA MANUAL, SEM REAPROVEITAMENTO. AF_12/2017 (M2)</t>
    </r>
  </si>
  <si>
    <r>
      <rPr>
        <sz val="7"/>
        <rFont val="Calibri"/>
        <family val="2"/>
      </rPr>
      <t>88323</t>
    </r>
  </si>
  <si>
    <r>
      <rPr>
        <sz val="7"/>
        <rFont val="Calibri"/>
        <family val="2"/>
      </rPr>
      <t>TELHADISTA COM ENCARGOS COMPLEMENTARES</t>
    </r>
  </si>
  <si>
    <r>
      <rPr>
        <b/>
        <sz val="8"/>
        <rFont val="Arial"/>
        <family val="2"/>
      </rPr>
      <t>2.1. 93358 - ESCAVAÇÃO MANUAL DE VALA COM PROFUNDIDADE MENOR OU IGUAL A 1,30 M. AF_03/2016 (M3)</t>
    </r>
  </si>
  <si>
    <r>
      <rPr>
        <b/>
        <sz val="8"/>
        <rFont val="Arial"/>
        <family val="2"/>
      </rPr>
      <t>2.2. C0096 - REATERRO APILOADO (M3)</t>
    </r>
  </si>
  <si>
    <r>
      <rPr>
        <sz val="7"/>
        <rFont val="Calibri"/>
        <family val="2"/>
      </rPr>
      <t>I6815</t>
    </r>
  </si>
  <si>
    <r>
      <rPr>
        <sz val="7"/>
        <rFont val="Calibri"/>
        <family val="2"/>
      </rPr>
      <t>ENCARREGADO DE TURMA / FEITOR</t>
    </r>
  </si>
  <si>
    <r>
      <rPr>
        <b/>
        <sz val="8"/>
        <rFont val="Arial"/>
        <family val="2"/>
      </rPr>
      <t>2.3. C0095 - APILOAMENTO DE PISO OU FUNDO DE VALAS C/MAÇO DE 30 A 60 KG (M2)</t>
    </r>
  </si>
  <si>
    <r>
      <rPr>
        <b/>
        <sz val="8"/>
        <rFont val="Arial"/>
        <family val="2"/>
      </rPr>
      <t>2.4. C0331 - ATERRO C/COMPACTAÇÃO MANUAL S/CONTROLE, MAT. PRODUZIDO (S/TRANSP.) (M3)</t>
    </r>
  </si>
  <si>
    <r>
      <rPr>
        <sz val="7"/>
        <rFont val="Calibri"/>
        <family val="2"/>
      </rPr>
      <t>C3129</t>
    </r>
  </si>
  <si>
    <r>
      <rPr>
        <sz val="7"/>
        <rFont val="Calibri"/>
        <family val="2"/>
      </rPr>
      <t>AREIA DE CAMPO - EXTRAÇÃO</t>
    </r>
  </si>
  <si>
    <r>
      <rPr>
        <b/>
        <sz val="8"/>
        <rFont val="Arial"/>
        <family val="2"/>
      </rPr>
      <t>3.1. C0056 - ALVENARIA DE EMBASAMENTO DE TIJOLO FURADO, C/ ARGAMASSA MISTA C/ CAL HIDRATADA (1:2:8) (M3)</t>
    </r>
  </si>
  <si>
    <r>
      <rPr>
        <sz val="7"/>
        <rFont val="Calibri"/>
        <family val="2"/>
      </rPr>
      <t>I0108</t>
    </r>
  </si>
  <si>
    <r>
      <rPr>
        <sz val="7"/>
        <rFont val="Calibri"/>
        <family val="2"/>
      </rPr>
      <t>AREIA GROSSA</t>
    </r>
  </si>
  <si>
    <r>
      <rPr>
        <sz val="7"/>
        <rFont val="Calibri"/>
        <family val="2"/>
      </rPr>
      <t>I0441</t>
    </r>
  </si>
  <si>
    <r>
      <rPr>
        <sz val="7"/>
        <rFont val="Calibri"/>
        <family val="2"/>
      </rPr>
      <t>CAL HIDRATADA</t>
    </r>
  </si>
  <si>
    <r>
      <rPr>
        <sz val="7"/>
        <rFont val="Calibri"/>
        <family val="2"/>
      </rPr>
      <t>I0805</t>
    </r>
  </si>
  <si>
    <r>
      <rPr>
        <sz val="7"/>
        <rFont val="Calibri"/>
        <family val="2"/>
      </rPr>
      <t>CIMENTO PORTLAND</t>
    </r>
  </si>
  <si>
    <r>
      <rPr>
        <sz val="7"/>
        <rFont val="Calibri"/>
        <family val="2"/>
      </rPr>
      <t>I2081</t>
    </r>
  </si>
  <si>
    <r>
      <rPr>
        <sz val="7"/>
        <rFont val="Calibri"/>
        <family val="2"/>
      </rPr>
      <t>TIJOLO CERÂMICO FURADO 9X19X19CM</t>
    </r>
  </si>
  <si>
    <r>
      <rPr>
        <b/>
        <sz val="8"/>
        <rFont val="Arial"/>
        <family val="2"/>
      </rPr>
      <t>3.2. C1400 - FORMA DE TÁBUAS DE 1" DE 3A. P/FUNDAÇÕES UTIL. 5 X (M2)</t>
    </r>
  </si>
  <si>
    <r>
      <rPr>
        <sz val="7"/>
        <rFont val="Calibri"/>
        <family val="2"/>
      </rPr>
      <t>I0041</t>
    </r>
  </si>
  <si>
    <r>
      <rPr>
        <sz val="7"/>
        <rFont val="Calibri"/>
        <family val="2"/>
      </rPr>
      <t>AJUDANTE DE CARPINTEIRO</t>
    </r>
  </si>
  <si>
    <r>
      <rPr>
        <sz val="7"/>
        <rFont val="Calibri"/>
        <family val="2"/>
      </rPr>
      <t>I0498</t>
    </r>
  </si>
  <si>
    <r>
      <rPr>
        <sz val="7"/>
        <rFont val="Calibri"/>
        <family val="2"/>
      </rPr>
      <t>CARPINTEIRO</t>
    </r>
  </si>
  <si>
    <r>
      <rPr>
        <sz val="7"/>
        <rFont val="Calibri"/>
        <family val="2"/>
      </rPr>
      <t>I0965</t>
    </r>
  </si>
  <si>
    <r>
      <rPr>
        <sz val="7"/>
        <rFont val="Calibri"/>
        <family val="2"/>
      </rPr>
      <t>DESMOLDANTE PARA FORMAS</t>
    </r>
  </si>
  <si>
    <r>
      <rPr>
        <sz val="7"/>
        <rFont val="Calibri"/>
        <family val="2"/>
      </rPr>
      <t>I1728</t>
    </r>
  </si>
  <si>
    <r>
      <rPr>
        <sz val="7"/>
        <rFont val="Calibri"/>
        <family val="2"/>
      </rPr>
      <t>PREGO 18X27 (2 1/2 X 10)</t>
    </r>
  </si>
  <si>
    <r>
      <rPr>
        <sz val="7"/>
        <rFont val="Calibri"/>
        <family val="2"/>
      </rPr>
      <t>I1846</t>
    </r>
  </si>
  <si>
    <r>
      <rPr>
        <sz val="7"/>
        <rFont val="Calibri"/>
        <family val="2"/>
      </rPr>
      <t>SARRAFO DE 1"X4"</t>
    </r>
  </si>
  <si>
    <r>
      <rPr>
        <sz val="7"/>
        <rFont val="Calibri"/>
        <family val="2"/>
      </rPr>
      <t>I1916</t>
    </r>
  </si>
  <si>
    <r>
      <rPr>
        <sz val="7"/>
        <rFont val="Calibri"/>
        <family val="2"/>
      </rPr>
      <t>TABUA DE 1" DE 3A. - L = 30cm</t>
    </r>
  </si>
  <si>
    <r>
      <rPr>
        <b/>
        <sz val="8"/>
        <rFont val="Arial"/>
        <family val="2"/>
      </rPr>
      <t>3.3. 92413 - MONTAGEM E DESMONTAGEM DE FÔRMA DE PILARES RETANGULARES E ESTRUTURAS SIMILARES COM ÁREA MÉDIA DAS SEÇÕES MAIOR QUE 0,25 M², PÉ-DIREITO SIMPLES, EM MADEIRA SERRADA, 4 UTILIZAÇÕES. AF_12/2015 (M2)</t>
    </r>
  </si>
  <si>
    <r>
      <rPr>
        <sz val="7"/>
        <rFont val="Calibri"/>
        <family val="2"/>
      </rPr>
      <t>00002692</t>
    </r>
  </si>
  <si>
    <r>
      <rPr>
        <sz val="7"/>
        <rFont val="Calibri"/>
        <family val="2"/>
      </rPr>
      <t>DESMOLDANTE PROTETOR PARA FORMAS DE MADEIRA, DE BASE OLEOSA EMULSIONADA EM AGUA</t>
    </r>
  </si>
  <si>
    <r>
      <rPr>
        <sz val="7"/>
        <rFont val="Calibri"/>
        <family val="2"/>
      </rPr>
      <t>00040304</t>
    </r>
  </si>
  <si>
    <r>
      <rPr>
        <sz val="7"/>
        <rFont val="Calibri"/>
        <family val="2"/>
      </rPr>
      <t>PREGO DE ACO POLIDO COM CABECA DUPLA 17 X 27 (2 1/2 X 11)</t>
    </r>
  </si>
  <si>
    <r>
      <rPr>
        <sz val="7"/>
        <rFont val="Calibri"/>
        <family val="2"/>
      </rPr>
      <t>92269</t>
    </r>
  </si>
  <si>
    <r>
      <rPr>
        <sz val="7"/>
        <rFont val="Calibri"/>
        <family val="2"/>
      </rPr>
      <t>FABRICAÇÃO DE FÔRMA PARA PILARES E ESTRUTURAS SIMILARES, EM MADEIRA SERRADA, E=25 MM. AF_12/2015</t>
    </r>
  </si>
  <si>
    <r>
      <rPr>
        <b/>
        <sz val="8"/>
        <rFont val="Arial"/>
        <family val="2"/>
      </rPr>
      <t>3.4. 030451 - LASTRO DE CONCRETO INCLUSIVE PREPARO/LANCAMENTO (M3)</t>
    </r>
  </si>
  <si>
    <r>
      <rPr>
        <sz val="7"/>
        <rFont val="Calibri"/>
        <family val="2"/>
      </rPr>
      <t>I099050</t>
    </r>
  </si>
  <si>
    <r>
      <rPr>
        <sz val="7"/>
        <rFont val="Calibri"/>
        <family val="2"/>
      </rPr>
      <t>SBC</t>
    </r>
  </si>
  <si>
    <r>
      <rPr>
        <sz val="7"/>
        <rFont val="Calibri"/>
        <family val="2"/>
      </rPr>
      <t>I099450</t>
    </r>
  </si>
  <si>
    <r>
      <rPr>
        <sz val="7"/>
        <rFont val="Calibri"/>
        <family val="2"/>
      </rPr>
      <t>AJUDANTE ESPECIALIZADO</t>
    </r>
  </si>
  <si>
    <r>
      <rPr>
        <sz val="7"/>
        <rFont val="Calibri"/>
        <family val="2"/>
      </rPr>
      <t>I099900</t>
    </r>
  </si>
  <si>
    <r>
      <rPr>
        <sz val="7"/>
        <rFont val="Calibri"/>
        <family val="2"/>
      </rPr>
      <t>I000098</t>
    </r>
  </si>
  <si>
    <r>
      <rPr>
        <sz val="7"/>
        <rFont val="Calibri"/>
        <family val="2"/>
      </rPr>
      <t>AREIA MEDIA LAVADA</t>
    </r>
  </si>
  <si>
    <r>
      <rPr>
        <sz val="7"/>
        <rFont val="Calibri"/>
        <family val="2"/>
      </rPr>
      <t>I008767</t>
    </r>
  </si>
  <si>
    <r>
      <rPr>
        <sz val="7"/>
        <rFont val="Calibri"/>
        <family val="2"/>
      </rPr>
      <t>PEDRA BRITADA #2</t>
    </r>
  </si>
  <si>
    <r>
      <rPr>
        <sz val="7"/>
        <rFont val="Calibri"/>
        <family val="2"/>
      </rPr>
      <t>I050006</t>
    </r>
  </si>
  <si>
    <r>
      <rPr>
        <sz val="7"/>
        <rFont val="Calibri"/>
        <family val="2"/>
      </rPr>
      <t>BETONEIRA ELETRICA 400L 2CV</t>
    </r>
  </si>
  <si>
    <r>
      <rPr>
        <b/>
        <sz val="7"/>
        <rFont val="Arial"/>
        <family val="2"/>
      </rPr>
      <t>VALOR ENCARGOS (118.19%):</t>
    </r>
  </si>
  <si>
    <r>
      <rPr>
        <b/>
        <sz val="8"/>
        <rFont val="Arial"/>
        <family val="2"/>
      </rPr>
      <t>3.5. 94966 - CONCRETO FCK = 30MPA, TRAÇO 1:2,1:2,5 (CIMENTO/ AREIA MÉDIA/ BRITA 1) - PREPARO MECÂNICO COM BETONEIRA 400 L. AF_07/2016 (M3)</t>
    </r>
  </si>
  <si>
    <r>
      <rPr>
        <sz val="7"/>
        <rFont val="Calibri"/>
        <family val="2"/>
      </rPr>
      <t>00000370</t>
    </r>
  </si>
  <si>
    <r>
      <rPr>
        <sz val="7"/>
        <rFont val="Calibri"/>
        <family val="2"/>
      </rPr>
      <t>AREIA MEDIA - POSTO JAZIDA/FORNECEDOR (RETIRADO NA JAZIDA, SEM TRANSPORTE)</t>
    </r>
  </si>
  <si>
    <r>
      <rPr>
        <sz val="7"/>
        <rFont val="Calibri"/>
        <family val="2"/>
      </rPr>
      <t>00001379</t>
    </r>
  </si>
  <si>
    <r>
      <rPr>
        <sz val="7"/>
        <rFont val="Calibri"/>
        <family val="2"/>
      </rPr>
      <t>CIMENTO PORTLAND COMPOSTO CP II-32</t>
    </r>
  </si>
  <si>
    <r>
      <rPr>
        <sz val="7"/>
        <rFont val="Calibri"/>
        <family val="2"/>
      </rPr>
      <t>00004721</t>
    </r>
  </si>
  <si>
    <r>
      <rPr>
        <sz val="7"/>
        <rFont val="Calibri"/>
        <family val="2"/>
      </rPr>
      <t>PEDRA BRITADA N. 1 (9,5 a 19 MM) POSTO PEDREIRA/FORNECEDOR, SEM FRETE</t>
    </r>
  </si>
  <si>
    <r>
      <rPr>
        <sz val="7"/>
        <rFont val="Calibri"/>
        <family val="2"/>
      </rPr>
      <t>88377</t>
    </r>
  </si>
  <si>
    <r>
      <rPr>
        <sz val="7"/>
        <rFont val="Calibri"/>
        <family val="2"/>
      </rPr>
      <t>OPERADOR DE BETONEIRA ESTACIONÁRIA/MISTURADOR COM ENCARGOS COMPLEMENTARES</t>
    </r>
  </si>
  <si>
    <r>
      <rPr>
        <sz val="7"/>
        <rFont val="Calibri"/>
        <family val="2"/>
      </rPr>
      <t>88830</t>
    </r>
  </si>
  <si>
    <r>
      <rPr>
        <sz val="7"/>
        <rFont val="Calibri"/>
        <family val="2"/>
      </rPr>
      <t>BETONEIRA CAPACIDADE NOMINAL DE 400 L, CAPACIDADE DE MISTURA 280 L, MOTOR ELÉTRICO TRIFÁSICO POTÊNCIA DE 2 CV, SEM CARREGADOR - CHP DIURNO. AF_10/2014</t>
    </r>
  </si>
  <si>
    <r>
      <rPr>
        <sz val="7"/>
        <rFont val="Calibri"/>
        <family val="2"/>
      </rPr>
      <t>88831</t>
    </r>
  </si>
  <si>
    <r>
      <rPr>
        <sz val="7"/>
        <rFont val="Calibri"/>
        <family val="2"/>
      </rPr>
      <t>BETONEIRA CAPACIDADE NOMINAL DE 400 L, CAPACIDADE DE MISTURA 280 L, MOTOR ELÉTRICO TRIFÁSICO POTÊNCIA DE 2 CV, SEM CARREGADOR - CHI DIURNO. AF_10/2014</t>
    </r>
  </si>
  <si>
    <r>
      <rPr>
        <b/>
        <sz val="8"/>
        <rFont val="Arial"/>
        <family val="2"/>
      </rPr>
      <t>3.6. 92776 - ARMAÇÃO DE PILAR OU VIGA DE UMA ESTRUTURA CONVENCIONAL DE CONCRETO ARMADO EM UMA EDIFICAÇÃO TÉRREA OU SOBRADO UTILIZANDO AÇO CA-50 DE 6,3 MM - MONTAGEM. AF_12/2015 (KG)</t>
    </r>
  </si>
  <si>
    <r>
      <rPr>
        <sz val="7"/>
        <rFont val="Calibri"/>
        <family val="2"/>
      </rPr>
      <t>00000337</t>
    </r>
  </si>
  <si>
    <r>
      <rPr>
        <sz val="7"/>
        <rFont val="Calibri"/>
        <family val="2"/>
      </rPr>
      <t>ARAME RECOZIDO 18 BWG, 1,25 MM (0,01 KG/M)</t>
    </r>
  </si>
  <si>
    <r>
      <rPr>
        <sz val="7"/>
        <rFont val="Calibri"/>
        <family val="2"/>
      </rPr>
      <t>00039017</t>
    </r>
  </si>
  <si>
    <r>
      <rPr>
        <sz val="7"/>
        <rFont val="Calibri"/>
        <family val="2"/>
      </rPr>
      <t>ESPACADOR / DISTANCIADOR CIRCULAR COM ENTRADA LATERAL, EM PLASTICO, PARA VERGALHAO *4,2 A 12,5* MM, COBRIMENTO 20 MM</t>
    </r>
  </si>
  <si>
    <r>
      <rPr>
        <sz val="7"/>
        <rFont val="Calibri"/>
        <family val="2"/>
      </rPr>
      <t>88238</t>
    </r>
  </si>
  <si>
    <r>
      <rPr>
        <sz val="7"/>
        <rFont val="Calibri"/>
        <family val="2"/>
      </rPr>
      <t>AJUDANTE DE ARMADOR COM ENCARGOS COMPLEMENTARES</t>
    </r>
  </si>
  <si>
    <r>
      <rPr>
        <sz val="7"/>
        <rFont val="Calibri"/>
        <family val="2"/>
      </rPr>
      <t>88245</t>
    </r>
  </si>
  <si>
    <r>
      <rPr>
        <sz val="7"/>
        <rFont val="Calibri"/>
        <family val="2"/>
      </rPr>
      <t>ARMADOR COM ENCARGOS COMPLEMENTARES</t>
    </r>
  </si>
  <si>
    <r>
      <rPr>
        <sz val="7"/>
        <rFont val="Calibri"/>
        <family val="2"/>
      </rPr>
      <t>92792</t>
    </r>
  </si>
  <si>
    <r>
      <rPr>
        <sz val="7"/>
        <rFont val="Calibri"/>
        <family val="2"/>
      </rPr>
      <t>CORTE E DOBRA DE AÇO CA-50, DIÂMETRO DE 6,3 MM, UTILIZADO EM ESTRUTURAS DIVERSAS, EXCETO LAJES. AF_12/2015</t>
    </r>
  </si>
  <si>
    <r>
      <rPr>
        <b/>
        <sz val="8"/>
        <rFont val="Arial"/>
        <family val="2"/>
      </rPr>
      <t>3.7. 92778 - ARMAÇÃO DE PILAR OU VIGA DE UMA ESTRUTURA CONVENCIONAL DE CONCRETO ARMADO EM UMA EDIFICAÇÃO TÉRREA OU SOBRADO UTILIZANDO AÇO CA-50 DE 10,0 MM - MONTAGEM. AF_12/2015 (KG)</t>
    </r>
  </si>
  <si>
    <r>
      <rPr>
        <sz val="7"/>
        <rFont val="Calibri"/>
        <family val="2"/>
      </rPr>
      <t>92794</t>
    </r>
  </si>
  <si>
    <r>
      <rPr>
        <sz val="7"/>
        <rFont val="Calibri"/>
        <family val="2"/>
      </rPr>
      <t>CORTE E DOBRA DE AÇO CA-50, DIÂMETRO DE 10,0 MM, UTILIZADO EM ESTRUTURAS DIVERSAS, EXCETO LAJES. AF_12/2015</t>
    </r>
  </si>
  <si>
    <r>
      <rPr>
        <b/>
        <sz val="8"/>
        <rFont val="Arial"/>
        <family val="2"/>
      </rPr>
      <t>3.8. C4456 - LAJE PRÉ-FABRICADA TRELIÇADA P/ FÔRRO - VÃO DE 2,81 A 3,80 m (M2)</t>
    </r>
  </si>
  <si>
    <r>
      <rPr>
        <sz val="7"/>
        <rFont val="Calibri"/>
        <family val="2"/>
      </rPr>
      <t>I0169</t>
    </r>
  </si>
  <si>
    <r>
      <rPr>
        <sz val="7"/>
        <rFont val="Calibri"/>
        <family val="2"/>
      </rPr>
      <t>AÇO CA-60</t>
    </r>
  </si>
  <si>
    <r>
      <rPr>
        <sz val="7"/>
        <rFont val="Calibri"/>
        <family val="2"/>
      </rPr>
      <t>I8283</t>
    </r>
  </si>
  <si>
    <r>
      <rPr>
        <sz val="7"/>
        <rFont val="Calibri"/>
        <family val="2"/>
      </rPr>
      <t>LAJE PRÉ-FABRICADA TRELIÇADA P/ FÔRRO, DE 8 cm DE ALTURA E 2 cm DE CAPEADO - VÃO DE 3,01 A 4,0 m</t>
    </r>
  </si>
  <si>
    <r>
      <rPr>
        <sz val="7"/>
        <rFont val="Calibri"/>
        <family val="2"/>
      </rPr>
      <t>C0840</t>
    </r>
  </si>
  <si>
    <r>
      <rPr>
        <sz val="7"/>
        <rFont val="Calibri"/>
        <family val="2"/>
      </rPr>
      <t>CONCRETO P/VIBR., FCK 15 MPa COM AGREGADO ADQUIRIDO</t>
    </r>
  </si>
  <si>
    <r>
      <rPr>
        <sz val="7"/>
        <rFont val="Calibri"/>
        <family val="2"/>
      </rPr>
      <t>C1603</t>
    </r>
  </si>
  <si>
    <r>
      <rPr>
        <sz val="7"/>
        <rFont val="Calibri"/>
        <family val="2"/>
      </rPr>
      <t>LANÇAMENTO E APLICAÇÃO DE CONCRETO C/ ELEVAÇÃO</t>
    </r>
  </si>
  <si>
    <r>
      <rPr>
        <b/>
        <sz val="8"/>
        <rFont val="Arial"/>
        <family val="2"/>
      </rPr>
      <t>3.9. 93182 - VERGA PRÉ-MOLDADA PARA JANELAS COM ATÉ 1,5 M DE VÃO. AF_03/2016 (M)</t>
    </r>
  </si>
  <si>
    <r>
      <rPr>
        <sz val="7"/>
        <rFont val="Calibri"/>
        <family val="2"/>
      </rPr>
      <t>87294</t>
    </r>
  </si>
  <si>
    <r>
      <rPr>
        <sz val="7"/>
        <rFont val="Calibri"/>
        <family val="2"/>
      </rPr>
      <t>ARGAMASSA TRAÇO 1:2:9 (CIMENTO, CAL E AREIA MÉDIA) PARA EMBOÇO/MASSA ÚNICA/ASSENTAMENTO DE ALVENARIA DE VEDAÇÃO, PREPARO MECÂNICO COM BETONEIRA 600 L. AF_06/2014</t>
    </r>
  </si>
  <si>
    <r>
      <rPr>
        <sz val="7"/>
        <rFont val="Calibri"/>
        <family val="2"/>
      </rPr>
      <t>92270</t>
    </r>
  </si>
  <si>
    <r>
      <rPr>
        <sz val="7"/>
        <rFont val="Calibri"/>
        <family val="2"/>
      </rPr>
      <t>FABRICAÇÃO DE FÔRMA PARA VIGAS, COM MADEIRA SERRADA, E = 25 MM. AF_12/2015</t>
    </r>
  </si>
  <si>
    <r>
      <rPr>
        <sz val="7"/>
        <rFont val="Calibri"/>
        <family val="2"/>
      </rPr>
      <t>94970</t>
    </r>
  </si>
  <si>
    <r>
      <rPr>
        <sz val="7"/>
        <rFont val="Calibri"/>
        <family val="2"/>
      </rPr>
      <t>CONCRETO FCK = 20MPA, TRAÇO 1:2,7:3 (CIMENTO/ AREIA MÉDIA/ BRITA 1)  - PREPARO MECÂNICO COM BETONEIRA 600 L. AF_07/2016</t>
    </r>
  </si>
  <si>
    <r>
      <rPr>
        <b/>
        <sz val="8"/>
        <rFont val="Arial"/>
        <family val="2"/>
      </rPr>
      <t>3.10. 93194 - CONTRAVERGA PRÉ-MOLDADA PARA VÃOS DE ATÉ 1,5 M DE COMPRIMENTO. AF_03/2016 (M)</t>
    </r>
  </si>
  <si>
    <r>
      <rPr>
        <b/>
        <sz val="8"/>
        <rFont val="Arial"/>
        <family val="2"/>
      </rPr>
      <t>3.11. 93185 - VERGA PRÉ-MOLDADA PARA PORTAS COM MAIS DE 1,5 M DE VÃO. AF_03/2016 (M)</t>
    </r>
  </si>
  <si>
    <r>
      <rPr>
        <sz val="7"/>
        <rFont val="Calibri"/>
        <family val="2"/>
      </rPr>
      <t>92793</t>
    </r>
  </si>
  <si>
    <r>
      <rPr>
        <sz val="7"/>
        <rFont val="Calibri"/>
        <family val="2"/>
      </rPr>
      <t>CORTE E DOBRA DE AÇO CA-50, DIÂMETRO DE 8,0 MM, UTILIZADO EM ESTRUTURAS DIVERSAS, EXCETO LAJES. AF_12/2015</t>
    </r>
  </si>
  <si>
    <r>
      <rPr>
        <b/>
        <sz val="8"/>
        <rFont val="Arial"/>
        <family val="2"/>
      </rPr>
      <t>3.12. 93182 - VERGA PRÉ-MOLDADA PARA JANELAS COM ATÉ 1,5 M DE VÃO. AF_03/2016 (M)</t>
    </r>
  </si>
  <si>
    <r>
      <rPr>
        <b/>
        <sz val="8"/>
        <rFont val="Arial"/>
        <family val="2"/>
      </rPr>
      <t>4.1. 74106/001 - IMPERMEABILIZACAO DE ESTRUTURAS ENTERRADAS, COM TINTA ASFALTICA, DUAS DEMAOS. (M2)</t>
    </r>
  </si>
  <si>
    <r>
      <rPr>
        <sz val="7"/>
        <rFont val="Calibri"/>
        <family val="2"/>
      </rPr>
      <t>00007319</t>
    </r>
  </si>
  <si>
    <r>
      <rPr>
        <sz val="7"/>
        <rFont val="Calibri"/>
        <family val="2"/>
      </rPr>
      <t>TINTA ASFALTICA IMPERMEABILIZANTE DISPERSA EM AGUA, PARA MATERIAIS CIMENTICIOS</t>
    </r>
  </si>
  <si>
    <r>
      <rPr>
        <b/>
        <sz val="8"/>
        <rFont val="Arial"/>
        <family val="2"/>
      </rPr>
      <t>4.2. 00004015 - MANTA ASFALTICA ELASTOMERICA EM POLIESTER 4 MM, TIPO III, CLASSE B, ACABAMENTO PP (NBR 9952) (M2)</t>
    </r>
  </si>
  <si>
    <r>
      <rPr>
        <b/>
        <sz val="7"/>
        <rFont val="Arial"/>
        <family val="2"/>
      </rPr>
      <t>VALOR ENCARGOS:</t>
    </r>
  </si>
  <si>
    <r>
      <rPr>
        <b/>
        <sz val="8"/>
        <rFont val="Arial"/>
        <family val="2"/>
      </rPr>
      <t>4.3. I030108 - VEDAPREN BRANCO EMULSAO ACRILICA P/IMPERMEABILIZACAO (BD)</t>
    </r>
  </si>
  <si>
    <r>
      <rPr>
        <b/>
        <sz val="8"/>
        <rFont val="Arial"/>
        <family val="2"/>
      </rPr>
      <t>5.1. 87505 - ALVENARIA DE VEDAÇÃO DE BLOCOS CERÂMICOS FURADOS NA HORIZONTAL DE 11,5X19X19CM (ESPESSURA 11,5M) DE PAREDES COM ÁREA LÍQUIDA MAIOR OU IGUAL A 6M² SEM VÃOS E ARGAMASSA DE ASSENTAMENTO COM PREPARO EM BETONEIRA. AF_06/2014 (M2)</t>
    </r>
  </si>
  <si>
    <r>
      <rPr>
        <sz val="7"/>
        <rFont val="Calibri"/>
        <family val="2"/>
      </rPr>
      <t>00034558</t>
    </r>
  </si>
  <si>
    <r>
      <rPr>
        <sz val="7"/>
        <rFont val="Calibri"/>
        <family val="2"/>
      </rPr>
      <t>TELA DE ACO SOLDADA GALVANIZADA/ZINCADA PARA ALVENARIA, FIO D = *1,20 A 1,70* MM, MALHA 15 X 15 MM, (C X L) *50 X 10,5* CM</t>
    </r>
  </si>
  <si>
    <r>
      <rPr>
        <sz val="7"/>
        <rFont val="Calibri"/>
        <family val="2"/>
      </rPr>
      <t>00037395</t>
    </r>
  </si>
  <si>
    <r>
      <rPr>
        <sz val="7"/>
        <rFont val="Calibri"/>
        <family val="2"/>
      </rPr>
      <t>PINO DE ACO COM FURO, HASTE = 27 MM (ACAO DIRETA)</t>
    </r>
  </si>
  <si>
    <r>
      <rPr>
        <sz val="7"/>
        <rFont val="Calibri"/>
        <family val="2"/>
      </rPr>
      <t>CENTO</t>
    </r>
  </si>
  <si>
    <r>
      <rPr>
        <sz val="7"/>
        <rFont val="Calibri"/>
        <family val="2"/>
      </rPr>
      <t>00038783</t>
    </r>
  </si>
  <si>
    <r>
      <rPr>
        <sz val="7"/>
        <rFont val="Calibri"/>
        <family val="2"/>
      </rPr>
      <t>BLOCO CERAMICO DE VEDACAO COM FUROS NA HORIZONTAL, 11,5 X 19 X 19 CM - 4,5 MPA (NBR 15270)</t>
    </r>
  </si>
  <si>
    <r>
      <rPr>
        <sz val="7"/>
        <rFont val="Calibri"/>
        <family val="2"/>
      </rPr>
      <t>87292</t>
    </r>
  </si>
  <si>
    <r>
      <rPr>
        <sz val="7"/>
        <rFont val="Calibri"/>
        <family val="2"/>
      </rPr>
      <t>ARGAMASSA TRAÇO 1:2:8 (CIMENTO, CAL E AREIA MÉDIA) PARA EMBOÇO/MASSA ÚNICA/ASSENTAMENTO DE ALVENARIA DE VEDAÇÃO, PREPARO MECÂNICO COM BETONEIRA 400 L. AF_06/2014</t>
    </r>
  </si>
  <si>
    <r>
      <rPr>
        <b/>
        <sz val="8"/>
        <rFont val="Arial"/>
        <family val="2"/>
      </rPr>
      <t>6.1. 87505 - ALVENARIA DE VEDAÇÃO DE BLOCOS CERÂMICOS FURADOS NA HORIZONTAL DE 11,5X19X19CM (ESPESSURA 11,5M) DE PAREDES COM ÁREA LÍQUIDA MAIOR OU IGUAL A 6M² SEM VÃOS E ARGAMASSA DE ASSENTAMENTO COM PREPARO EM BETONEIRA. AF_06/2014 (M2)</t>
    </r>
  </si>
  <si>
    <r>
      <rPr>
        <b/>
        <sz val="8"/>
        <rFont val="Arial"/>
        <family val="2"/>
      </rPr>
      <t>7.1. 87505 - ALVENARIA DE VEDAÇÃO DE BLOCOS CERÂMICOS FURADOS NA HORIZONTAL DE 11,5X19X19CM (ESPESSURA 11,5M) DE PAREDES COM ÁREA LÍQUIDA MAIOR OU IGUAL A 6M² SEM VÃOS E ARGAMASSA DE ASSENTAMENTO COM PREPARO EM BETONEIRA. AF_06/2014 (M2)</t>
    </r>
  </si>
  <si>
    <r>
      <rPr>
        <b/>
        <sz val="8"/>
        <rFont val="Arial"/>
        <family val="2"/>
      </rPr>
      <t>8.1. COMP-945263 - PORTA TIPO PARANÁ 0,90X2,10 C0M ACESSÓRIOS  (UN)</t>
    </r>
  </si>
  <si>
    <r>
      <rPr>
        <b/>
        <sz val="8"/>
        <rFont val="Arial"/>
        <family val="2"/>
      </rPr>
      <t>8.2. C4427 - PORTA TIPO PARANÁ (0,80 x 2,10 m), C/ FERRAGENS (UN)</t>
    </r>
  </si>
  <si>
    <r>
      <rPr>
        <sz val="7"/>
        <rFont val="Calibri"/>
        <family val="2"/>
      </rPr>
      <t>I1027</t>
    </r>
  </si>
  <si>
    <r>
      <rPr>
        <sz val="7"/>
        <rFont val="Calibri"/>
        <family val="2"/>
      </rPr>
      <t>DOBRADIÇA 3''X2 1/2'' CROMADA</t>
    </r>
  </si>
  <si>
    <r>
      <rPr>
        <sz val="7"/>
        <rFont val="Calibri"/>
        <family val="2"/>
      </rPr>
      <t>I1154</t>
    </r>
  </si>
  <si>
    <r>
      <rPr>
        <sz val="7"/>
        <rFont val="Calibri"/>
        <family val="2"/>
      </rPr>
      <t>FECHADURA COMPLETA PARA PORTA EXTERNA</t>
    </r>
  </si>
  <si>
    <r>
      <rPr>
        <sz val="7"/>
        <rFont val="Calibri"/>
        <family val="2"/>
      </rPr>
      <t>I8273</t>
    </r>
  </si>
  <si>
    <r>
      <rPr>
        <sz val="7"/>
        <rFont val="Calibri"/>
        <family val="2"/>
      </rPr>
      <t>PORTA PARANÁ (0,80 x 2,10 m)</t>
    </r>
  </si>
  <si>
    <r>
      <rPr>
        <b/>
        <sz val="8"/>
        <rFont val="Arial"/>
        <family val="2"/>
      </rPr>
      <t>8.3. C4423 - PORTA TIPO PARANÁ (0,60 x 2,10 m), C/ FERRAGENS (UN)</t>
    </r>
  </si>
  <si>
    <r>
      <rPr>
        <sz val="7"/>
        <rFont val="Calibri"/>
        <family val="2"/>
      </rPr>
      <t>I1155</t>
    </r>
  </si>
  <si>
    <r>
      <rPr>
        <sz val="7"/>
        <rFont val="Calibri"/>
        <family val="2"/>
      </rPr>
      <t>FECHADURA COMPLETA PARA PORTA INTERNA</t>
    </r>
  </si>
  <si>
    <r>
      <rPr>
        <sz val="7"/>
        <rFont val="Calibri"/>
        <family val="2"/>
      </rPr>
      <t>I8271</t>
    </r>
  </si>
  <si>
    <r>
      <rPr>
        <sz val="7"/>
        <rFont val="Calibri"/>
        <family val="2"/>
      </rPr>
      <t>PORTA PARANÁ (0,60 x 2,10 m)</t>
    </r>
  </si>
  <si>
    <r>
      <rPr>
        <b/>
        <sz val="8"/>
        <rFont val="Arial"/>
        <family val="2"/>
      </rPr>
      <t>8.4. C4425 - PORTA TIPO PARANÁ (0,70 x 2,10 m), C/ FERRAGENS (UN)</t>
    </r>
  </si>
  <si>
    <r>
      <rPr>
        <sz val="7"/>
        <rFont val="Calibri"/>
        <family val="2"/>
      </rPr>
      <t>I8272</t>
    </r>
  </si>
  <si>
    <r>
      <rPr>
        <sz val="7"/>
        <rFont val="Calibri"/>
        <family val="2"/>
      </rPr>
      <t>PORTA PARANÁ (0,70 x 2,10 m)</t>
    </r>
  </si>
  <si>
    <r>
      <rPr>
        <b/>
        <sz val="8"/>
        <rFont val="Arial"/>
        <family val="2"/>
      </rPr>
      <t>8.5. 150190 - PORTA EM VIDRO LAMINADO INCOLOR 10mm COM FERRAGENS (M2)</t>
    </r>
  </si>
  <si>
    <r>
      <rPr>
        <sz val="7"/>
        <rFont val="Calibri"/>
        <family val="2"/>
      </rPr>
      <t>I099537</t>
    </r>
  </si>
  <si>
    <r>
      <rPr>
        <sz val="7"/>
        <rFont val="Calibri"/>
        <family val="2"/>
      </rPr>
      <t>VIDRACEIRO</t>
    </r>
  </si>
  <si>
    <r>
      <rPr>
        <sz val="7"/>
        <rFont val="Calibri"/>
        <family val="2"/>
      </rPr>
      <t>I099661</t>
    </r>
  </si>
  <si>
    <r>
      <rPr>
        <sz val="7"/>
        <rFont val="Calibri"/>
        <family val="2"/>
      </rPr>
      <t>AJUDANTE ESPECIALIZADO - VIDRACEIRO</t>
    </r>
  </si>
  <si>
    <r>
      <rPr>
        <sz val="7"/>
        <rFont val="Calibri"/>
        <family val="2"/>
      </rPr>
      <t>I012736</t>
    </r>
  </si>
  <si>
    <r>
      <rPr>
        <sz val="7"/>
        <rFont val="Calibri"/>
        <family val="2"/>
      </rPr>
      <t>FECHADURA AGL PARA PORTA DE VIDRO COM2 FUROS 2 FLS PVF2I AGL</t>
    </r>
  </si>
  <si>
    <r>
      <rPr>
        <sz val="7"/>
        <rFont val="Calibri"/>
        <family val="2"/>
      </rPr>
      <t>I017265</t>
    </r>
  </si>
  <si>
    <r>
      <rPr>
        <sz val="7"/>
        <rFont val="Calibri"/>
        <family val="2"/>
      </rPr>
      <t>VIDRO LAMINADO INCOLOR 10mm</t>
    </r>
  </si>
  <si>
    <r>
      <rPr>
        <b/>
        <sz val="8"/>
        <rFont val="Arial"/>
        <family val="2"/>
      </rPr>
      <t>8.6. C3733 - PORTÃO DE ALUMÍNIO ANODIZADO NATURAL, FECHAMENTO TOTAL C/ LAMBRI BOLA E CORREDIÇO (FORNECIMENTO E MONTAGEM) (M2)</t>
    </r>
  </si>
  <si>
    <r>
      <rPr>
        <sz val="7"/>
        <rFont val="Calibri"/>
        <family val="2"/>
      </rPr>
      <t>I6805</t>
    </r>
  </si>
  <si>
    <r>
      <rPr>
        <sz val="7"/>
        <rFont val="Calibri"/>
        <family val="2"/>
      </rPr>
      <t>PORTÃO DE ALUMÍNIO ANODIZADO NATURAL, FECHAMENTO COM LAMBRI BOLA E CORREDIÇO (FORNECIMENTO E MONTAGEM)</t>
    </r>
  </si>
  <si>
    <r>
      <rPr>
        <b/>
        <sz val="8"/>
        <rFont val="Arial"/>
        <family val="2"/>
      </rPr>
      <t>8.7. I087322 - JANELA MAXIM AIR ALUMINIO C-28 NATURAL VIDRO 6mm (M2)</t>
    </r>
  </si>
  <si>
    <r>
      <rPr>
        <b/>
        <sz val="8"/>
        <rFont val="Arial"/>
        <family val="2"/>
      </rPr>
      <t>8.8. C0805 - COBOGÓ DE CIMENTO TIPO DIAMANTE (M2)</t>
    </r>
  </si>
  <si>
    <r>
      <rPr>
        <sz val="7"/>
        <rFont val="Calibri"/>
        <family val="2"/>
      </rPr>
      <t>I0811</t>
    </r>
  </si>
  <si>
    <r>
      <rPr>
        <sz val="7"/>
        <rFont val="Calibri"/>
        <family val="2"/>
      </rPr>
      <t>COBOGO DE CIMENTO TIPO DIAMANTE</t>
    </r>
  </si>
  <si>
    <r>
      <rPr>
        <sz val="7"/>
        <rFont val="Calibri"/>
        <family val="2"/>
      </rPr>
      <t>C0164</t>
    </r>
  </si>
  <si>
    <r>
      <rPr>
        <sz val="7"/>
        <rFont val="Calibri"/>
        <family val="2"/>
      </rPr>
      <t>ARGAMASSA DE CIMENTO E AREIA PEN. TRAÇO 1:3</t>
    </r>
  </si>
  <si>
    <r>
      <rPr>
        <b/>
        <sz val="8"/>
        <rFont val="Arial"/>
        <family val="2"/>
      </rPr>
      <t>9.1. C0802 - COBERTURA C/TELHA ONDULADA DE FIBRO-CIMENTO E= 6mm ( C/MADEIRAMENTO ) (M2)</t>
    </r>
  </si>
  <si>
    <r>
      <rPr>
        <sz val="7"/>
        <rFont val="Calibri"/>
        <family val="2"/>
      </rPr>
      <t>I0037</t>
    </r>
  </si>
  <si>
    <r>
      <rPr>
        <sz val="7"/>
        <rFont val="Calibri"/>
        <family val="2"/>
      </rPr>
      <t>AJUDANTE</t>
    </r>
  </si>
  <si>
    <r>
      <rPr>
        <sz val="7"/>
        <rFont val="Calibri"/>
        <family val="2"/>
      </rPr>
      <t>I0853</t>
    </r>
  </si>
  <si>
    <r>
      <rPr>
        <sz val="7"/>
        <rFont val="Calibri"/>
        <family val="2"/>
      </rPr>
      <t>CONJUNTO VEDAÇÃO ELASTICA</t>
    </r>
  </si>
  <si>
    <r>
      <rPr>
        <sz val="7"/>
        <rFont val="Calibri"/>
        <family val="2"/>
      </rPr>
      <t>I2296</t>
    </r>
  </si>
  <si>
    <r>
      <rPr>
        <sz val="7"/>
        <rFont val="Calibri"/>
        <family val="2"/>
      </rPr>
      <t>CUMEEIRA NORMAL P/TELHA DE 6MM, LARGURA 1.10M</t>
    </r>
  </si>
  <si>
    <r>
      <rPr>
        <sz val="7"/>
        <rFont val="Calibri"/>
        <family val="2"/>
      </rPr>
      <t>I2339</t>
    </r>
  </si>
  <si>
    <r>
      <rPr>
        <sz val="7"/>
        <rFont val="Calibri"/>
        <family val="2"/>
      </rPr>
      <t>FERRO CHATO DE 2" x 3/16"</t>
    </r>
  </si>
  <si>
    <r>
      <rPr>
        <sz val="7"/>
        <rFont val="Calibri"/>
        <family val="2"/>
      </rPr>
      <t>I2387</t>
    </r>
  </si>
  <si>
    <r>
      <rPr>
        <sz val="7"/>
        <rFont val="Calibri"/>
        <family val="2"/>
      </rPr>
      <t>PARAFUSO DE 5/16"x 110MM C/ARRUELA</t>
    </r>
  </si>
  <si>
    <r>
      <rPr>
        <sz val="7"/>
        <rFont val="Calibri"/>
        <family val="2"/>
      </rPr>
      <t>I2407</t>
    </r>
  </si>
  <si>
    <r>
      <rPr>
        <sz val="7"/>
        <rFont val="Calibri"/>
        <family val="2"/>
      </rPr>
      <t>PRANCHA EM MADEIRA DE LEI</t>
    </r>
  </si>
  <si>
    <r>
      <rPr>
        <sz val="7"/>
        <rFont val="Calibri"/>
        <family val="2"/>
      </rPr>
      <t>I2441</t>
    </r>
  </si>
  <si>
    <r>
      <rPr>
        <sz val="7"/>
        <rFont val="Calibri"/>
        <family val="2"/>
      </rPr>
      <t>TELHA DE FIBROCIMENTO ONDULADA 6MM (1.10 x 1.83M)</t>
    </r>
  </si>
  <si>
    <r>
      <rPr>
        <b/>
        <sz val="8"/>
        <rFont val="Arial"/>
        <family val="2"/>
      </rPr>
      <t>9.2. 100583 - CALHA CONCRETO FCK 135Kgf/cm2 60x30x12cm (M)</t>
    </r>
  </si>
  <si>
    <r>
      <rPr>
        <sz val="7"/>
        <rFont val="Calibri"/>
        <family val="2"/>
      </rPr>
      <t>I099300</t>
    </r>
  </si>
  <si>
    <r>
      <rPr>
        <sz val="7"/>
        <rFont val="Calibri"/>
        <family val="2"/>
      </rPr>
      <t>ARMADOR ou FERREIRO</t>
    </r>
  </si>
  <si>
    <r>
      <rPr>
        <sz val="7"/>
        <rFont val="Calibri"/>
        <family val="2"/>
      </rPr>
      <t>I099350</t>
    </r>
  </si>
  <si>
    <r>
      <rPr>
        <sz val="7"/>
        <rFont val="Calibri"/>
        <family val="2"/>
      </rPr>
      <t>CARPINTEIRO DE FORMAS</t>
    </r>
  </si>
  <si>
    <r>
      <rPr>
        <sz val="7"/>
        <rFont val="Calibri"/>
        <family val="2"/>
      </rPr>
      <t>I099449</t>
    </r>
  </si>
  <si>
    <r>
      <rPr>
        <sz val="7"/>
        <rFont val="Calibri"/>
        <family val="2"/>
      </rPr>
      <t>I099807</t>
    </r>
  </si>
  <si>
    <r>
      <rPr>
        <sz val="7"/>
        <rFont val="Calibri"/>
        <family val="2"/>
      </rPr>
      <t>AJUDANTE DE ARMADOR</t>
    </r>
  </si>
  <si>
    <r>
      <rPr>
        <sz val="7"/>
        <rFont val="Calibri"/>
        <family val="2"/>
      </rPr>
      <t>I000050</t>
    </r>
  </si>
  <si>
    <r>
      <rPr>
        <sz val="7"/>
        <rFont val="Calibri"/>
        <family val="2"/>
      </rPr>
      <t>CIMENTO PORTLAND CP III 32RS NBR 11578 (quilo)</t>
    </r>
  </si>
  <si>
    <r>
      <rPr>
        <sz val="7"/>
        <rFont val="Calibri"/>
        <family val="2"/>
      </rPr>
      <t>I000100</t>
    </r>
  </si>
  <si>
    <r>
      <rPr>
        <sz val="7"/>
        <rFont val="Calibri"/>
        <family val="2"/>
      </rPr>
      <t>AREIA GROSSA LAVADA</t>
    </r>
  </si>
  <si>
    <r>
      <rPr>
        <sz val="7"/>
        <rFont val="Calibri"/>
        <family val="2"/>
      </rPr>
      <t>I000200</t>
    </r>
  </si>
  <si>
    <r>
      <rPr>
        <sz val="7"/>
        <rFont val="Calibri"/>
        <family val="2"/>
      </rPr>
      <t>PEDRA BRITADA #1 E 2</t>
    </r>
  </si>
  <si>
    <r>
      <rPr>
        <sz val="7"/>
        <rFont val="Calibri"/>
        <family val="2"/>
      </rPr>
      <t>I000400</t>
    </r>
  </si>
  <si>
    <r>
      <rPr>
        <sz val="7"/>
        <rFont val="Calibri"/>
        <family val="2"/>
      </rPr>
      <t>ARAME RECOZIDO ISGW #16 (0,032kg/m) (55 AMARRAS/pm3)</t>
    </r>
  </si>
  <si>
    <r>
      <rPr>
        <sz val="7"/>
        <rFont val="Calibri"/>
        <family val="2"/>
      </rPr>
      <t>I000779</t>
    </r>
  </si>
  <si>
    <r>
      <rPr>
        <sz val="7"/>
        <rFont val="Calibri"/>
        <family val="2"/>
      </rPr>
      <t>ACO CA 50 6,3mm (1/4") (0,248 kg/m)</t>
    </r>
  </si>
  <si>
    <r>
      <rPr>
        <sz val="7"/>
        <rFont val="Calibri"/>
        <family val="2"/>
      </rPr>
      <t>I001250</t>
    </r>
  </si>
  <si>
    <r>
      <rPr>
        <sz val="7"/>
        <rFont val="Calibri"/>
        <family val="2"/>
      </rPr>
      <t>TABUA TERCEIRA QUALIDADE NAO APARELHADA</t>
    </r>
  </si>
  <si>
    <r>
      <rPr>
        <sz val="7"/>
        <rFont val="Calibri"/>
        <family val="2"/>
      </rPr>
      <t>I001350</t>
    </r>
  </si>
  <si>
    <r>
      <rPr>
        <sz val="7"/>
        <rFont val="Calibri"/>
        <family val="2"/>
      </rPr>
      <t>PONTALETE 7,5x7,5cm (3x3") PERNA/BARROTE/ESTRONCA</t>
    </r>
  </si>
  <si>
    <r>
      <rPr>
        <sz val="7"/>
        <rFont val="Calibri"/>
        <family val="2"/>
      </rPr>
      <t>I001805</t>
    </r>
  </si>
  <si>
    <r>
      <rPr>
        <sz val="7"/>
        <rFont val="Calibri"/>
        <family val="2"/>
      </rPr>
      <t>SARRAFO DE MADEIRA PINUS/TAIPA/ANGELIN 10 x 2,5cm</t>
    </r>
  </si>
  <si>
    <r>
      <rPr>
        <sz val="7"/>
        <rFont val="Calibri"/>
        <family val="2"/>
      </rPr>
      <t>I014213</t>
    </r>
  </si>
  <si>
    <r>
      <rPr>
        <sz val="7"/>
        <rFont val="Calibri"/>
        <family val="2"/>
      </rPr>
      <t>PREGO FERRO GALVANIZADO 15x15 (636 un/kg)</t>
    </r>
  </si>
  <si>
    <r>
      <rPr>
        <b/>
        <sz val="8"/>
        <rFont val="Arial"/>
        <family val="2"/>
      </rPr>
      <t>9.3. 121215 - CHAPIM DE CONCRETO (M)</t>
    </r>
  </si>
  <si>
    <r>
      <rPr>
        <b/>
        <sz val="8"/>
        <rFont val="Arial"/>
        <family val="2"/>
      </rPr>
      <t>9.4. COMP-630482 - PERGOLADOS EM LINHA DE MADEIRA MACIÇA (14,00x7,00cm), TIPO MAÇARANDUBA, C/ ACABAMENTO EM VERNIZ FOSCO À BASE D'AGUA;  (M)</t>
    </r>
  </si>
  <si>
    <r>
      <rPr>
        <b/>
        <sz val="8"/>
        <rFont val="Arial"/>
        <family val="2"/>
      </rPr>
      <t>9.5. 6082 - PINTURA EM VERNIZ SINTETICO BRILHANTE EM MADEIRA, TRES DEMAOS (M2)</t>
    </r>
  </si>
  <si>
    <r>
      <rPr>
        <sz val="7"/>
        <rFont val="Calibri"/>
        <family val="2"/>
      </rPr>
      <t>00003767</t>
    </r>
  </si>
  <si>
    <r>
      <rPr>
        <sz val="7"/>
        <rFont val="Calibri"/>
        <family val="2"/>
      </rPr>
      <t>LIXA EM FOLHA PARA PAREDE OU MADEIRA, NUMERO 120 (COR VERMELHA)</t>
    </r>
  </si>
  <si>
    <r>
      <rPr>
        <sz val="7"/>
        <rFont val="Calibri"/>
        <family val="2"/>
      </rPr>
      <t>00005318</t>
    </r>
  </si>
  <si>
    <r>
      <rPr>
        <sz val="7"/>
        <rFont val="Calibri"/>
        <family val="2"/>
      </rPr>
      <t>SOLVENTE DILUENTE A BASE DE AGUARRAS</t>
    </r>
  </si>
  <si>
    <r>
      <rPr>
        <sz val="7"/>
        <rFont val="Calibri"/>
        <family val="2"/>
      </rPr>
      <t>00010481</t>
    </r>
  </si>
  <si>
    <r>
      <rPr>
        <sz val="7"/>
        <rFont val="Calibri"/>
        <family val="2"/>
      </rPr>
      <t>VERNIZ SINTETICO BRILHANTE PARA MADEIRA, COM FILTRO SOLAR, USO INTERNO E EXTERNO (BASE SOLVENTE)</t>
    </r>
  </si>
  <si>
    <r>
      <rPr>
        <sz val="7"/>
        <rFont val="Calibri"/>
        <family val="2"/>
      </rPr>
      <t>88310</t>
    </r>
  </si>
  <si>
    <r>
      <rPr>
        <sz val="7"/>
        <rFont val="Calibri"/>
        <family val="2"/>
      </rPr>
      <t>PINTOR COM ENCARGOS COMPLEMENTARES</t>
    </r>
  </si>
  <si>
    <r>
      <rPr>
        <b/>
        <sz val="8"/>
        <rFont val="Arial"/>
        <family val="2"/>
      </rPr>
      <t>10.1. 87879 - CHAPISCO APLICADO EM ALVENARIAS E ESTRUTURAS DE CONCRETO INTERNAS, COM COLHER DE PEDREIRO. ARGAMASSA TRAÇO 1:3 COM PREPARO EM BETONEIRA 400L. AF_06/2014 (M2)</t>
    </r>
  </si>
  <si>
    <r>
      <rPr>
        <sz val="7"/>
        <rFont val="Calibri"/>
        <family val="2"/>
      </rPr>
      <t>87313</t>
    </r>
  </si>
  <si>
    <r>
      <rPr>
        <sz val="7"/>
        <rFont val="Calibri"/>
        <family val="2"/>
      </rPr>
      <t>ARGAMASSA TRAÇO 1:3 (CIMENTO E AREIA GROSSA) PARA CHAPISCO CONVENCIONAL, PREPARO MECÂNICO COM BETONEIRA 400 L. AF_06/2014</t>
    </r>
  </si>
  <si>
    <r>
      <rPr>
        <b/>
        <sz val="8"/>
        <rFont val="Arial"/>
        <family val="2"/>
      </rPr>
      <t>10.2. 87543 - MASSA ÚNICA, PARA RECEBIMENTO DE PINTURA OU CERÂMICA, ARGAMASSA INDUSTRIALIZADA, PREPARO MECÂNICO, APLICADO COM EQUIPAMENTO DE MISTURA E PROJEÇÃO DE 1,5 M3/H EM FACES INTERNAS DE PAREDES, ESPESSURA DE 5MM, SEM EXECUÇÃO DE TALISCAS. AF_06/2014 (M2)</t>
    </r>
  </si>
  <si>
    <r>
      <rPr>
        <sz val="7"/>
        <rFont val="Calibri"/>
        <family val="2"/>
      </rPr>
      <t>87407</t>
    </r>
  </si>
  <si>
    <r>
      <rPr>
        <sz val="7"/>
        <rFont val="Calibri"/>
        <family val="2"/>
      </rPr>
      <t>ARGAMASSA INDUSTRIALIZADA PARA REVESTIMENTOS, MISTURA E PROJEÇÃO DE 1,5 M³/H DE ARGAMASSA. AF_06/2014</t>
    </r>
  </si>
  <si>
    <r>
      <rPr>
        <b/>
        <sz val="8"/>
        <rFont val="Arial"/>
        <family val="2"/>
      </rPr>
      <t>10.3. C0778 - CHAPISCO C/ ARGAMASSA DE CIMENTO E AREIA S/ PENEIRAR TRAÇO 1:3 ESP=5 mm P/ TETO (M2)</t>
    </r>
  </si>
  <si>
    <r>
      <rPr>
        <sz val="7"/>
        <rFont val="Calibri"/>
        <family val="2"/>
      </rPr>
      <t>I0109</t>
    </r>
  </si>
  <si>
    <r>
      <rPr>
        <sz val="7"/>
        <rFont val="Calibri"/>
        <family val="2"/>
      </rPr>
      <t>AREIA MEDIA</t>
    </r>
  </si>
  <si>
    <r>
      <rPr>
        <b/>
        <sz val="8"/>
        <rFont val="Arial"/>
        <family val="2"/>
      </rPr>
      <t>10.4. C1217 - EMBOÇO C/ ARGAMASSA MISTA CIMENTO, CAL HIDRATADA E AREIA S/ PENEIRAR TRAÇO 1:2:11 ESP=20 mm P/ TETO (M2)</t>
    </r>
  </si>
  <si>
    <r>
      <rPr>
        <b/>
        <sz val="6"/>
        <rFont val="Calibri"/>
        <family val="2"/>
      </rPr>
      <t>EQUIPAMENTO</t>
    </r>
  </si>
  <si>
    <r>
      <rPr>
        <sz val="7"/>
        <rFont val="Calibri"/>
        <family val="2"/>
      </rPr>
      <t>I0682</t>
    </r>
  </si>
  <si>
    <r>
      <rPr>
        <sz val="7"/>
        <rFont val="Calibri"/>
        <family val="2"/>
      </rPr>
      <t>BETONEIRA ELÉTRICA 580L (CHP)</t>
    </r>
  </si>
  <si>
    <r>
      <rPr>
        <b/>
        <sz val="6"/>
        <rFont val="Calibri"/>
        <family val="2"/>
      </rPr>
      <t>TOTAL EQUIPAMENTO:</t>
    </r>
  </si>
  <si>
    <r>
      <rPr>
        <b/>
        <sz val="8"/>
        <rFont val="Arial"/>
        <family val="2"/>
      </rPr>
      <t>10.5. 170453 - PORCELANATO 63X63 TRAVERTINO ROMANO BEIGE BIANCOGRES (M2)</t>
    </r>
  </si>
  <si>
    <r>
      <rPr>
        <sz val="7"/>
        <rFont val="Calibri"/>
        <family val="2"/>
      </rPr>
      <t>I099100</t>
    </r>
  </si>
  <si>
    <r>
      <rPr>
        <sz val="7"/>
        <rFont val="Calibri"/>
        <family val="2"/>
      </rPr>
      <t>LADRILHEIRO</t>
    </r>
  </si>
  <si>
    <r>
      <rPr>
        <sz val="7"/>
        <rFont val="Calibri"/>
        <family val="2"/>
      </rPr>
      <t>I099780</t>
    </r>
  </si>
  <si>
    <r>
      <rPr>
        <sz val="7"/>
        <rFont val="Calibri"/>
        <family val="2"/>
      </rPr>
      <t>AJUDANTE ESPECIALIZADO - LADRILHEIRO</t>
    </r>
  </si>
  <si>
    <r>
      <rPr>
        <sz val="7"/>
        <rFont val="Calibri"/>
        <family val="2"/>
      </rPr>
      <t>I033140</t>
    </r>
  </si>
  <si>
    <r>
      <rPr>
        <sz val="7"/>
        <rFont val="Calibri"/>
        <family val="2"/>
      </rPr>
      <t>PORCELANATO 63X63 TRAVERTINO ROMANO BEIGE BIANCOGRES</t>
    </r>
  </si>
  <si>
    <r>
      <rPr>
        <sz val="7"/>
        <rFont val="Calibri"/>
        <family val="2"/>
      </rPr>
      <t>I042519</t>
    </r>
  </si>
  <si>
    <r>
      <rPr>
        <sz val="7"/>
        <rFont val="Calibri"/>
        <family val="2"/>
      </rPr>
      <t>ARGAMASSA PRONTA PARA REJUNTAMENTO CERAMICO(0,45kg/m2)</t>
    </r>
  </si>
  <si>
    <r>
      <rPr>
        <sz val="7"/>
        <rFont val="Calibri"/>
        <family val="2"/>
      </rPr>
      <t>I042521</t>
    </r>
  </si>
  <si>
    <r>
      <rPr>
        <sz val="7"/>
        <rFont val="Calibri"/>
        <family val="2"/>
      </rPr>
      <t>ARGAMASSA PREFABRICADA PARA CERAMICA (4,50kg/m2)</t>
    </r>
  </si>
  <si>
    <r>
      <rPr>
        <b/>
        <sz val="8"/>
        <rFont val="Arial"/>
        <family val="2"/>
      </rPr>
      <t>10.6. I040180 - PORCELANATO 80x80cm PORTINARI BIANCO DELICATO POLIDO (M2)</t>
    </r>
  </si>
  <si>
    <r>
      <rPr>
        <b/>
        <sz val="8"/>
        <rFont val="Arial"/>
        <family val="2"/>
      </rPr>
      <t>10.7. 180017 - PINTURA PVA SUVINIL EM PAREDES COM APLICACAO MASSA CORRIDA (M2)</t>
    </r>
  </si>
  <si>
    <r>
      <rPr>
        <sz val="7"/>
        <rFont val="Calibri"/>
        <family val="2"/>
      </rPr>
      <t>I099550</t>
    </r>
  </si>
  <si>
    <r>
      <rPr>
        <sz val="7"/>
        <rFont val="Calibri"/>
        <family val="2"/>
      </rPr>
      <t>PINTOR</t>
    </r>
  </si>
  <si>
    <r>
      <rPr>
        <sz val="7"/>
        <rFont val="Calibri"/>
        <family val="2"/>
      </rPr>
      <t>I002605</t>
    </r>
  </si>
  <si>
    <r>
      <rPr>
        <sz val="7"/>
        <rFont val="Calibri"/>
        <family val="2"/>
      </rPr>
      <t>LIXA PARA MASSA A257 GRAO 60</t>
    </r>
  </si>
  <si>
    <r>
      <rPr>
        <sz val="7"/>
        <rFont val="Calibri"/>
        <family val="2"/>
      </rPr>
      <t>I002960</t>
    </r>
  </si>
  <si>
    <r>
      <rPr>
        <sz val="7"/>
        <rFont val="Calibri"/>
        <family val="2"/>
      </rPr>
      <t>TINTA PVA (LATA 18 LITROS) - SUVINIL</t>
    </r>
  </si>
  <si>
    <r>
      <rPr>
        <sz val="7"/>
        <rFont val="Calibri"/>
        <family val="2"/>
      </rPr>
      <t>I039002</t>
    </r>
  </si>
  <si>
    <r>
      <rPr>
        <sz val="7"/>
        <rFont val="Calibri"/>
        <family val="2"/>
      </rPr>
      <t>MASSA CORRIDA PVA (LATA 18 LITROS)</t>
    </r>
  </si>
  <si>
    <r>
      <rPr>
        <sz val="7"/>
        <rFont val="Calibri"/>
        <family val="2"/>
      </rPr>
      <t>LT</t>
    </r>
  </si>
  <si>
    <r>
      <rPr>
        <b/>
        <sz val="8"/>
        <rFont val="Arial"/>
        <family val="2"/>
      </rPr>
      <t>10.8. 120490 - TETO EM GESSO COM PLACAS 60x60cm FIXADAS C/ARAME-EM LOJAS (M2)</t>
    </r>
  </si>
  <si>
    <r>
      <rPr>
        <sz val="7"/>
        <rFont val="Calibri"/>
        <family val="2"/>
      </rPr>
      <t>I099315</t>
    </r>
  </si>
  <si>
    <r>
      <rPr>
        <sz val="7"/>
        <rFont val="Calibri"/>
        <family val="2"/>
      </rPr>
      <t>GESSEIRO</t>
    </r>
  </si>
  <si>
    <r>
      <rPr>
        <sz val="7"/>
        <rFont val="Calibri"/>
        <family val="2"/>
      </rPr>
      <t>I099978</t>
    </r>
  </si>
  <si>
    <r>
      <rPr>
        <sz val="7"/>
        <rFont val="Calibri"/>
        <family val="2"/>
      </rPr>
      <t>AJUDANTE ESPECIALIZADO - GESSEIRO</t>
    </r>
  </si>
  <si>
    <r>
      <rPr>
        <sz val="7"/>
        <rFont val="Calibri"/>
        <family val="2"/>
      </rPr>
      <t>I001733</t>
    </r>
  </si>
  <si>
    <r>
      <rPr>
        <sz val="7"/>
        <rFont val="Calibri"/>
        <family val="2"/>
      </rPr>
      <t>ARAME GALVANIZADO #10 AWG</t>
    </r>
  </si>
  <si>
    <r>
      <rPr>
        <sz val="7"/>
        <rFont val="Calibri"/>
        <family val="2"/>
      </rPr>
      <t>I008383</t>
    </r>
  </si>
  <si>
    <r>
      <rPr>
        <sz val="7"/>
        <rFont val="Calibri"/>
        <family val="2"/>
      </rPr>
      <t>GESSO PARA REVESTIMENTO QUALIGESSO 60 LAFARGE GYPSUM</t>
    </r>
  </si>
  <si>
    <r>
      <rPr>
        <sz val="7"/>
        <rFont val="Calibri"/>
        <family val="2"/>
      </rPr>
      <t>I038726</t>
    </r>
  </si>
  <si>
    <r>
      <rPr>
        <sz val="7"/>
        <rFont val="Calibri"/>
        <family val="2"/>
      </rPr>
      <t>GESSO PLACA LISA 60x60cm</t>
    </r>
  </si>
  <si>
    <r>
      <rPr>
        <b/>
        <sz val="8"/>
        <rFont val="Arial"/>
        <family val="2"/>
      </rPr>
      <t>10.9. C1869 - PEITORIL DE GRANITO L= 15 cm (M)</t>
    </r>
  </si>
  <si>
    <r>
      <rPr>
        <sz val="7"/>
        <rFont val="Calibri"/>
        <family val="2"/>
      </rPr>
      <t>I1610</t>
    </r>
  </si>
  <si>
    <r>
      <rPr>
        <sz val="7"/>
        <rFont val="Calibri"/>
        <family val="2"/>
      </rPr>
      <t>PEITORIS DE GRANITO 15CM</t>
    </r>
  </si>
  <si>
    <r>
      <rPr>
        <sz val="7"/>
        <rFont val="Calibri"/>
        <family val="2"/>
      </rPr>
      <t>C0197</t>
    </r>
  </si>
  <si>
    <r>
      <rPr>
        <sz val="7"/>
        <rFont val="Calibri"/>
        <family val="2"/>
      </rPr>
      <t>ARGAMASSA MISTA DE CIMENTO CAL HIDR. E AREIA S/PEN. TRAÇO 1:1:4</t>
    </r>
  </si>
  <si>
    <r>
      <rPr>
        <b/>
        <sz val="8"/>
        <rFont val="Arial"/>
        <family val="2"/>
      </rPr>
      <t>10.10. C2284 - SOLEIRA DE GRANITO L= 15cm (M)</t>
    </r>
  </si>
  <si>
    <r>
      <rPr>
        <sz val="7"/>
        <rFont val="Calibri"/>
        <family val="2"/>
      </rPr>
      <t>I1880</t>
    </r>
  </si>
  <si>
    <r>
      <rPr>
        <sz val="7"/>
        <rFont val="Calibri"/>
        <family val="2"/>
      </rPr>
      <t>SOLEIRA DE GRANITO DE 15CM</t>
    </r>
  </si>
  <si>
    <r>
      <rPr>
        <b/>
        <sz val="8"/>
        <rFont val="Arial"/>
        <family val="2"/>
      </rPr>
      <t>10.11. 121100 - RESSALTES EM ARGAMASSA PARA MOLDURA DE ESQUADRIAS (M2)</t>
    </r>
  </si>
  <si>
    <r>
      <rPr>
        <sz val="7"/>
        <rFont val="Calibri"/>
        <family val="2"/>
      </rPr>
      <t>I099140</t>
    </r>
  </si>
  <si>
    <r>
      <rPr>
        <sz val="7"/>
        <rFont val="Calibri"/>
        <family val="2"/>
      </rPr>
      <t>ESTUCADOR</t>
    </r>
  </si>
  <si>
    <r>
      <rPr>
        <b/>
        <sz val="8"/>
        <rFont val="Arial"/>
        <family val="2"/>
      </rPr>
      <t>11.2. C1915 - PISO CIMENTADO C/ ARGAMASSA DE CIMENTO E AREIA S/ PENEIRAR, TRAÇO 1:4, ESP.= 1.5cm (M2)</t>
    </r>
  </si>
  <si>
    <r>
      <rPr>
        <b/>
        <sz val="8"/>
        <rFont val="Arial"/>
        <family val="2"/>
      </rPr>
      <t>11.3. 92402 - EXECUÇÃO DE PASSEIO EM PISO INTERTRAVADO, COM BLOCO 16 FACES DE 22 X 11 CM, ESPESSURA 6 CM. AF_12/2015 (M2)</t>
    </r>
  </si>
  <si>
    <r>
      <rPr>
        <sz val="7"/>
        <rFont val="Calibri"/>
        <family val="2"/>
      </rPr>
      <t>00004741</t>
    </r>
  </si>
  <si>
    <r>
      <rPr>
        <sz val="7"/>
        <rFont val="Calibri"/>
        <family val="2"/>
      </rPr>
      <t>PO DE PEDRA (POSTO PEDREIRA/FORNECEDOR, SEM FRETE)</t>
    </r>
  </si>
  <si>
    <r>
      <rPr>
        <sz val="7"/>
        <rFont val="Calibri"/>
        <family val="2"/>
      </rPr>
      <t>00036155</t>
    </r>
  </si>
  <si>
    <r>
      <rPr>
        <sz val="7"/>
        <rFont val="Calibri"/>
        <family val="2"/>
      </rPr>
      <t>BLOQUETE/PISO INTERTRAVADO DE CONCRETO - MODELO ONDA/16 FACES/RETANGULAR/TIJOLINHO/PAVER/HOLANDES/PARALELEPIPEDO, 20 CM X 10 CM, E = 6 CM, RESISTENCIA DE 35 MPA (NBR 9781), COR NATURAL</t>
    </r>
  </si>
  <si>
    <r>
      <rPr>
        <sz val="7"/>
        <rFont val="Calibri"/>
        <family val="2"/>
      </rPr>
      <t>88260</t>
    </r>
  </si>
  <si>
    <r>
      <rPr>
        <sz val="7"/>
        <rFont val="Calibri"/>
        <family val="2"/>
      </rPr>
      <t>CALCETEIRO COM ENCARGOS COMPLEMENTARES</t>
    </r>
  </si>
  <si>
    <r>
      <rPr>
        <sz val="7"/>
        <rFont val="Calibri"/>
        <family val="2"/>
      </rPr>
      <t>91277</t>
    </r>
  </si>
  <si>
    <r>
      <rPr>
        <sz val="7"/>
        <rFont val="Calibri"/>
        <family val="2"/>
      </rPr>
      <t>PLACA VIBRATÓRIA REVERSÍVEL COM MOTOR 4 TEMPOS A GASOLINA, FORÇA CENTRÍFUGA DE 25 KN (2500 KGF), POTÊNCIA 5,5 CV - CHP DIURNO. AF_08/2015</t>
    </r>
  </si>
  <si>
    <r>
      <rPr>
        <sz val="7"/>
        <rFont val="Calibri"/>
        <family val="2"/>
      </rPr>
      <t>91278</t>
    </r>
  </si>
  <si>
    <r>
      <rPr>
        <sz val="7"/>
        <rFont val="Calibri"/>
        <family val="2"/>
      </rPr>
      <t>PLACA VIBRATÓRIA REVERSÍVEL COM MOTOR 4 TEMPOS A GASOLINA, FORÇA CENTRÍFUGA DE 25 KN (2500 KGF), POTÊNCIA 5,5 CV - CHI DIURNO. AF_08/2015</t>
    </r>
  </si>
  <si>
    <r>
      <rPr>
        <sz val="7"/>
        <rFont val="Calibri"/>
        <family val="2"/>
      </rPr>
      <t>91283</t>
    </r>
  </si>
  <si>
    <r>
      <rPr>
        <sz val="7"/>
        <rFont val="Calibri"/>
        <family val="2"/>
      </rPr>
      <t>CORTADORA DE PISO COM MOTOR 4 TEMPOS A GASOLINA, POTÊNCIA DE 13 HP, COM DISCO DE CORTE DIAMANTADO SEGMENTADO PARA CONCRETO, DIÂMETRO DE 350 MM, FURO DE 1" (14 X 1") - CHP DIURNO. AF_08/2015</t>
    </r>
  </si>
  <si>
    <r>
      <rPr>
        <sz val="7"/>
        <rFont val="Calibri"/>
        <family val="2"/>
      </rPr>
      <t>91285</t>
    </r>
  </si>
  <si>
    <r>
      <rPr>
        <sz val="7"/>
        <rFont val="Calibri"/>
        <family val="2"/>
      </rPr>
      <t>CORTADORA DE PISO COM MOTOR 4 TEMPOS A GASOLINA, POTÊNCIA DE 13 HP, COM DISCO DE CORTE DIAMANTADO SEGMENTADO PARA CONCRETO, DIÂMETRO DE 350 MM, FURO DE 1" (14 X 1") - CHI DIURNO. AF_08/2015</t>
    </r>
  </si>
  <si>
    <r>
      <rPr>
        <b/>
        <sz val="8"/>
        <rFont val="Arial"/>
        <family val="2"/>
      </rPr>
      <t>11.4. 170408 - PORCELANATO 80X80 ADHARA ELIANE (M2)</t>
    </r>
  </si>
  <si>
    <r>
      <rPr>
        <sz val="7"/>
        <rFont val="Calibri"/>
        <family val="2"/>
      </rPr>
      <t>I017086</t>
    </r>
  </si>
  <si>
    <r>
      <rPr>
        <sz val="7"/>
        <rFont val="Calibri"/>
        <family val="2"/>
      </rPr>
      <t>PORCELANATO 80X80 ADHARA ELIANE</t>
    </r>
  </si>
  <si>
    <r>
      <rPr>
        <b/>
        <sz val="8"/>
        <rFont val="Arial"/>
        <family val="2"/>
      </rPr>
      <t>12.1. 00009869 - TUBO PVC, SOLDAVEL, DN 32 MM, AGUA FRIA (NBR-5648) (M)</t>
    </r>
  </si>
  <si>
    <r>
      <rPr>
        <b/>
        <sz val="8"/>
        <rFont val="Arial"/>
        <family val="2"/>
      </rPr>
      <t>12.2. 00009868 - TUBO PVC, SOLDAVEL, DN 25 MM, AGUA FRIA (NBR-5648) (M)</t>
    </r>
  </si>
  <si>
    <r>
      <rPr>
        <b/>
        <sz val="8"/>
        <rFont val="Arial"/>
        <family val="2"/>
      </rPr>
      <t>12.3. 00009874 - TUBO PVC, SOLDAVEL, DN 40 MM, AGUA FRIA (NBR-5648) (M)</t>
    </r>
  </si>
  <si>
    <r>
      <rPr>
        <b/>
        <sz val="8"/>
        <rFont val="Arial"/>
        <family val="2"/>
      </rPr>
      <t>12.4. 90374 - TÊ COM BUCHA DE LATÃO NA BOLSA CENTRAL, PVC, SOLDÁVEL, DN 25MM X 3/4?, INSTALADO EM RAMAL OU SUB-RAMAL DE ÁGUA - FORNECIMENTO E INSTALAÇÃO. AF_03/2015 (UN)</t>
    </r>
  </si>
  <si>
    <r>
      <rPr>
        <sz val="7"/>
        <rFont val="Calibri"/>
        <family val="2"/>
      </rPr>
      <t>00000122</t>
    </r>
  </si>
  <si>
    <r>
      <rPr>
        <sz val="7"/>
        <rFont val="Calibri"/>
        <family val="2"/>
      </rPr>
      <t>ADESIVO PLASTICO PARA PVC, FRASCO COM 850 GR</t>
    </r>
  </si>
  <si>
    <r>
      <rPr>
        <sz val="7"/>
        <rFont val="Calibri"/>
        <family val="2"/>
      </rPr>
      <t>00007122</t>
    </r>
  </si>
  <si>
    <r>
      <rPr>
        <sz val="7"/>
        <rFont val="Calibri"/>
        <family val="2"/>
      </rPr>
      <t>TE PVC, SOLDAVEL, COM BUCHA DE LATAO NA BOLSA CENTRAL, 90 GRAUS, 25 MM X 3/4", PARA AGUA FRIA PREDIAL</t>
    </r>
  </si>
  <si>
    <r>
      <rPr>
        <sz val="7"/>
        <rFont val="Calibri"/>
        <family val="2"/>
      </rPr>
      <t>00020083</t>
    </r>
  </si>
  <si>
    <r>
      <rPr>
        <sz val="7"/>
        <rFont val="Calibri"/>
        <family val="2"/>
      </rPr>
      <t>SOLUCAO LIMPADORA PARA PVC, FRASCO COM 1000 CM3</t>
    </r>
  </si>
  <si>
    <r>
      <rPr>
        <sz val="7"/>
        <rFont val="Calibri"/>
        <family val="2"/>
      </rPr>
      <t>00038383</t>
    </r>
  </si>
  <si>
    <r>
      <rPr>
        <sz val="7"/>
        <rFont val="Calibri"/>
        <family val="2"/>
      </rPr>
      <t>LIXA D'AGUA EM FOLHA, GRAO 100</t>
    </r>
  </si>
  <si>
    <r>
      <rPr>
        <sz val="7"/>
        <rFont val="Calibri"/>
        <family val="2"/>
      </rPr>
      <t>88248</t>
    </r>
  </si>
  <si>
    <r>
      <rPr>
        <sz val="7"/>
        <rFont val="Calibri"/>
        <family val="2"/>
      </rPr>
      <t>AUXILIAR DE ENCANADOR OU BOMBEIRO HIDRÁULICO COM ENCARGOS COMPLEMENTARES</t>
    </r>
  </si>
  <si>
    <r>
      <rPr>
        <sz val="7"/>
        <rFont val="Calibri"/>
        <family val="2"/>
      </rPr>
      <t>88267</t>
    </r>
  </si>
  <si>
    <r>
      <rPr>
        <sz val="7"/>
        <rFont val="Calibri"/>
        <family val="2"/>
      </rPr>
      <t>ENCANADOR OU BOMBEIRO HIDRÁULICO COM ENCARGOS COMPLEMENTARES</t>
    </r>
  </si>
  <si>
    <r>
      <rPr>
        <b/>
        <sz val="8"/>
        <rFont val="Arial"/>
        <family val="2"/>
      </rPr>
      <t>12.5. 89366 - JOELHO 90 GRAUS COM BUCHA DE LATÃO, PVC, SOLDÁVEL, DN 25MM, X 3/4? INSTALADO EM RAMAL OU SUB-RAMAL DE ÁGUA - FORNECIMENTO E INSTALAÇÃO. AF_12/2014 (UN)</t>
    </r>
  </si>
  <si>
    <r>
      <rPr>
        <sz val="7"/>
        <rFont val="Calibri"/>
        <family val="2"/>
      </rPr>
      <t>00003524</t>
    </r>
  </si>
  <si>
    <r>
      <rPr>
        <sz val="7"/>
        <rFont val="Calibri"/>
        <family val="2"/>
      </rPr>
      <t>JOELHO PVC, SOLDAVEL, COM BUCHA DE LATAO, 90 GRAUS, 25 MM X 3/4", PARA AGUA FRIA PREDIAL</t>
    </r>
  </si>
  <si>
    <r>
      <rPr>
        <b/>
        <sz val="8"/>
        <rFont val="Arial"/>
        <family val="2"/>
      </rPr>
      <t>12.6. 00003536 - JOELHO PVC, SOLDAVEL, 90 GRAUS, 32 MM, PARA AGUA FRIA PREDIAL (UN)</t>
    </r>
  </si>
  <si>
    <r>
      <rPr>
        <b/>
        <sz val="8"/>
        <rFont val="Arial"/>
        <family val="2"/>
      </rPr>
      <t>12.7. 00003535 - JOELHO PVC, SOLDAVEL, 90 GRAUS, 40 MM, PARA AGUA FRIA PREDIAL (UN)</t>
    </r>
  </si>
  <si>
    <r>
      <rPr>
        <b/>
        <sz val="8"/>
        <rFont val="Arial"/>
        <family val="2"/>
      </rPr>
      <t>12.8. 00003529 - JOELHO PVC, SOLDAVEL, 90 GRAUS, 25 MM, PARA AGUA FRIA PREDIAL (UN)</t>
    </r>
  </si>
  <si>
    <r>
      <rPr>
        <b/>
        <sz val="8"/>
        <rFont val="Arial"/>
        <family val="2"/>
      </rPr>
      <t>12.9. C2166 - REGISTRO DE GAVETA C/CANOPLA CROMADA D= 20mm (3/4") (UN)</t>
    </r>
  </si>
  <si>
    <r>
      <rPr>
        <sz val="7"/>
        <rFont val="Calibri"/>
        <family val="2"/>
      </rPr>
      <t>I0043</t>
    </r>
  </si>
  <si>
    <r>
      <rPr>
        <sz val="7"/>
        <rFont val="Calibri"/>
        <family val="2"/>
      </rPr>
      <t>AJUDANTE DE ENCANADOR</t>
    </r>
  </si>
  <si>
    <r>
      <rPr>
        <sz val="7"/>
        <rFont val="Calibri"/>
        <family val="2"/>
      </rPr>
      <t>I2320</t>
    </r>
  </si>
  <si>
    <r>
      <rPr>
        <sz val="7"/>
        <rFont val="Calibri"/>
        <family val="2"/>
      </rPr>
      <t>ENCANADOR</t>
    </r>
  </si>
  <si>
    <r>
      <rPr>
        <sz val="7"/>
        <rFont val="Calibri"/>
        <family val="2"/>
      </rPr>
      <t>I1180</t>
    </r>
  </si>
  <si>
    <r>
      <rPr>
        <sz val="7"/>
        <rFont val="Calibri"/>
        <family val="2"/>
      </rPr>
      <t>FITA DE VEDAÇÃO</t>
    </r>
  </si>
  <si>
    <r>
      <rPr>
        <sz val="7"/>
        <rFont val="Calibri"/>
        <family val="2"/>
      </rPr>
      <t>I1806</t>
    </r>
  </si>
  <si>
    <r>
      <rPr>
        <sz val="7"/>
        <rFont val="Calibri"/>
        <family val="2"/>
      </rPr>
      <t>REGISTRO DE GAVETA CROMADO 20MM (3/4')</t>
    </r>
  </si>
  <si>
    <r>
      <rPr>
        <b/>
        <sz val="8"/>
        <rFont val="Arial"/>
        <family val="2"/>
      </rPr>
      <t>12.10. 95644 - KIT CAVALETE PARA MEDIÇÃO DE ÁGUA - ENTRADA INDIVIDUALIZADA, EM PVC DN 32 (1?), PARA 1 MEDIDOR ? FORNECIMENTO E INSTALAÇÃO (EXCLUSIVE HIDRÔMETRO). AF_11/2016 (UN)</t>
    </r>
  </si>
  <si>
    <r>
      <rPr>
        <sz val="7"/>
        <rFont val="Calibri"/>
        <family val="2"/>
      </rPr>
      <t>00000108</t>
    </r>
  </si>
  <si>
    <r>
      <rPr>
        <sz val="7"/>
        <rFont val="Calibri"/>
        <family val="2"/>
      </rPr>
      <t>ADAPTADOR PVC SOLDAVEL CURTO COM BOLSA E ROSCA, 32 MM X 1", PARA AGUA FRIA</t>
    </r>
  </si>
  <si>
    <r>
      <rPr>
        <sz val="7"/>
        <rFont val="Calibri"/>
        <family val="2"/>
      </rPr>
      <t>00000820</t>
    </r>
  </si>
  <si>
    <r>
      <rPr>
        <sz val="7"/>
        <rFont val="Calibri"/>
        <family val="2"/>
      </rPr>
      <t>BUCHA DE REDUCAO DE PVC, SOLDAVEL, LONGA, COM 50 X 32 MM, PARA AGUA FRIA PREDIAL</t>
    </r>
  </si>
  <si>
    <r>
      <rPr>
        <sz val="7"/>
        <rFont val="Calibri"/>
        <family val="2"/>
      </rPr>
      <t>00003536</t>
    </r>
  </si>
  <si>
    <r>
      <rPr>
        <sz val="7"/>
        <rFont val="Calibri"/>
        <family val="2"/>
      </rPr>
      <t>JOELHO PVC, SOLDAVEL, 90 GRAUS, 32 MM, PARA AGUA FRIA PREDIAL</t>
    </r>
  </si>
  <si>
    <r>
      <rPr>
        <sz val="7"/>
        <rFont val="Calibri"/>
        <family val="2"/>
      </rPr>
      <t>00003540</t>
    </r>
  </si>
  <si>
    <r>
      <rPr>
        <sz val="7"/>
        <rFont val="Calibri"/>
        <family val="2"/>
      </rPr>
      <t>JOELHO PVC, SOLDAVEL, 90 GRAUS, 50 MM, PARA AGUA FRIA PREDIAL</t>
    </r>
  </si>
  <si>
    <r>
      <rPr>
        <sz val="7"/>
        <rFont val="Calibri"/>
        <family val="2"/>
      </rPr>
      <t>00006019</t>
    </r>
  </si>
  <si>
    <r>
      <rPr>
        <sz val="7"/>
        <rFont val="Calibri"/>
        <family val="2"/>
      </rPr>
      <t>REGISTRO GAVETA BRUTO EM LATAO FORJADO, BITOLA 1 " (REF 1509)</t>
    </r>
  </si>
  <si>
    <r>
      <rPr>
        <sz val="7"/>
        <rFont val="Calibri"/>
        <family val="2"/>
      </rPr>
      <t>00009869</t>
    </r>
  </si>
  <si>
    <r>
      <rPr>
        <sz val="7"/>
        <rFont val="Calibri"/>
        <family val="2"/>
      </rPr>
      <t>TUBO PVC, SOLDAVEL, DN 32 MM, AGUA FRIA (NBR-5648)</t>
    </r>
  </si>
  <si>
    <r>
      <rPr>
        <sz val="7"/>
        <rFont val="Calibri"/>
        <family val="2"/>
      </rPr>
      <t>00009875</t>
    </r>
  </si>
  <si>
    <r>
      <rPr>
        <sz val="7"/>
        <rFont val="Calibri"/>
        <family val="2"/>
      </rPr>
      <t>TUBO PVC, SOLDAVEL, DN 50 MM, PARA AGUA FRIA (NBR-5648)</t>
    </r>
  </si>
  <si>
    <r>
      <rPr>
        <sz val="7"/>
        <rFont val="Calibri"/>
        <family val="2"/>
      </rPr>
      <t>00020080</t>
    </r>
  </si>
  <si>
    <r>
      <rPr>
        <sz val="7"/>
        <rFont val="Calibri"/>
        <family val="2"/>
      </rPr>
      <t>ADESIVO PLASTICO PARA PVC, FRASCO COM 175 GR</t>
    </r>
  </si>
  <si>
    <r>
      <rPr>
        <b/>
        <sz val="8"/>
        <rFont val="Arial"/>
        <family val="2"/>
      </rPr>
      <t>12.11. C2159 - REGISTRO DE GAVETA BRUTO D= 32mm (1 1/4") (UN)</t>
    </r>
  </si>
  <si>
    <r>
      <rPr>
        <sz val="7"/>
        <rFont val="Calibri"/>
        <family val="2"/>
      </rPr>
      <t>I1800</t>
    </r>
  </si>
  <si>
    <r>
      <rPr>
        <sz val="7"/>
        <rFont val="Calibri"/>
        <family val="2"/>
      </rPr>
      <t>REGISTRO DE GAVETA BRUTO 32MM (1 1/4')</t>
    </r>
  </si>
  <si>
    <r>
      <rPr>
        <b/>
        <sz val="8"/>
        <rFont val="Arial"/>
        <family val="2"/>
      </rPr>
      <t>12.12. 00011824 - TORNEIRA DE BOIA VAZAO TOTAL PARA CAIXA D'AGUA, 3/4", COM HASTE E TORNEIRA METALICOS E BALAO PLASTICO (UN)</t>
    </r>
  </si>
  <si>
    <r>
      <rPr>
        <b/>
        <sz val="8"/>
        <rFont val="Arial"/>
        <family val="2"/>
      </rPr>
      <t>12.13. I056534 - ENGATE FLEXIVEL PVC TIGRE 1/2" x 50cm (UN)</t>
    </r>
  </si>
  <si>
    <r>
      <rPr>
        <b/>
        <sz val="8"/>
        <rFont val="Arial"/>
        <family val="2"/>
      </rPr>
      <t>13.1. 89512 - TUBO PVC, SÉRIE R, ÁGUA PLUVIAL, DN 100 MM, FORNECIDO E INSTALADO EM RAMAL DE ENCAMINHAMENTO. AF_12/2014 (M)</t>
    </r>
  </si>
  <si>
    <r>
      <rPr>
        <sz val="7"/>
        <rFont val="Calibri"/>
        <family val="2"/>
      </rPr>
      <t>00009841</t>
    </r>
  </si>
  <si>
    <r>
      <rPr>
        <sz val="7"/>
        <rFont val="Calibri"/>
        <family val="2"/>
      </rPr>
      <t>TUBO PVC, SERIE R, DN 100 MM, PARA ESGOTO OU AGUAS PLUVIAIS PREDIAL (NBR 5688)</t>
    </r>
  </si>
  <si>
    <r>
      <rPr>
        <b/>
        <sz val="8"/>
        <rFont val="Arial"/>
        <family val="2"/>
      </rPr>
      <t>13.2. C0613 - CAIXA DE INSPEÇÃO EM ALVENARIA-LASTRO DE CONCRETO ESP.= 10cm (M3)</t>
    </r>
  </si>
  <si>
    <r>
      <rPr>
        <sz val="7"/>
        <rFont val="Calibri"/>
        <family val="2"/>
      </rPr>
      <t>I0280</t>
    </r>
  </si>
  <si>
    <r>
      <rPr>
        <sz val="7"/>
        <rFont val="Calibri"/>
        <family val="2"/>
      </rPr>
      <t>BRITA</t>
    </r>
  </si>
  <si>
    <r>
      <rPr>
        <b/>
        <sz val="8"/>
        <rFont val="Arial"/>
        <family val="2"/>
      </rPr>
      <t>13.3. 00009836 - TUBO PVC SERIE NORMAL, DN 100 MM, PARA ESGOTO PREDIAL (NBR 5688) (M)</t>
    </r>
  </si>
  <si>
    <r>
      <rPr>
        <b/>
        <sz val="8"/>
        <rFont val="Arial"/>
        <family val="2"/>
      </rPr>
      <t>13.4. 89711 - TUBO PVC, SERIE NORMAL, ESGOTO PREDIAL, DN 40 MM, FORNECIDO E INSTALADO EM RAMAL DE DESCARGA OU RAMAL DE ESGOTO SANITÁRIO. AF_12/2014 (M)</t>
    </r>
  </si>
  <si>
    <r>
      <rPr>
        <sz val="7"/>
        <rFont val="Calibri"/>
        <family val="2"/>
      </rPr>
      <t>00009835</t>
    </r>
  </si>
  <si>
    <r>
      <rPr>
        <sz val="7"/>
        <rFont val="Calibri"/>
        <family val="2"/>
      </rPr>
      <t>TUBO PVC  SERIE NORMAL, DN 40 MM, PARA ESGOTO  PREDIAL (NBR 5688)</t>
    </r>
  </si>
  <si>
    <r>
      <rPr>
        <b/>
        <sz val="8"/>
        <rFont val="Arial"/>
        <family val="2"/>
      </rPr>
      <t>13.5. 89798 - TUBO PVC, SERIE NORMAL, ESGOTO PREDIAL, DN 50 MM, FORNECIDO E INSTALADO EM PRUMADA DE ESGOTO SANITÁRIO OU VENTILAÇÃO. AF_12/2014 (M)</t>
    </r>
  </si>
  <si>
    <r>
      <rPr>
        <sz val="7"/>
        <rFont val="Calibri"/>
        <family val="2"/>
      </rPr>
      <t>00009838</t>
    </r>
  </si>
  <si>
    <r>
      <rPr>
        <sz val="7"/>
        <rFont val="Calibri"/>
        <family val="2"/>
      </rPr>
      <t>TUBO PVC SERIE NORMAL, DN 50 MM, PARA ESGOTO PREDIAL (NBR 5688)</t>
    </r>
  </si>
  <si>
    <r>
      <rPr>
        <b/>
        <sz val="8"/>
        <rFont val="Arial"/>
        <family val="2"/>
      </rPr>
      <t>13.6. C1582 - JUNÇÃO SIMPLES DE REDUÇÃO PVC P/ESGOTO 100X50mm(4"X2") (UN)</t>
    </r>
  </si>
  <si>
    <r>
      <rPr>
        <sz val="7"/>
        <rFont val="Calibri"/>
        <family val="2"/>
      </rPr>
      <t>I0026</t>
    </r>
  </si>
  <si>
    <r>
      <rPr>
        <sz val="7"/>
        <rFont val="Calibri"/>
        <family val="2"/>
      </rPr>
      <t>ADESIVO PARA TUBO DE PVC RIGIDO</t>
    </r>
  </si>
  <si>
    <r>
      <rPr>
        <sz val="7"/>
        <rFont val="Calibri"/>
        <family val="2"/>
      </rPr>
      <t>I1319</t>
    </r>
  </si>
  <si>
    <r>
      <rPr>
        <sz val="7"/>
        <rFont val="Calibri"/>
        <family val="2"/>
      </rPr>
      <t>JUNÇÃO PVC PARA ESGOTO 100X50MM (4X2'')</t>
    </r>
  </si>
  <si>
    <r>
      <rPr>
        <sz val="7"/>
        <rFont val="Calibri"/>
        <family val="2"/>
      </rPr>
      <t>I1888</t>
    </r>
  </si>
  <si>
    <r>
      <rPr>
        <sz val="7"/>
        <rFont val="Calibri"/>
        <family val="2"/>
      </rPr>
      <t>SOLUÇÃO LIMPADORA PARA PVC RIGIDO</t>
    </r>
  </si>
  <si>
    <r>
      <rPr>
        <b/>
        <sz val="8"/>
        <rFont val="Arial"/>
        <family val="2"/>
      </rPr>
      <t>13.7. C1574 - JUNÇÃO SIMPLES C/INSPEÇÃO PVC P/ESGOTO D=100mm (4")-C/ANÉIS (UN)</t>
    </r>
  </si>
  <si>
    <r>
      <rPr>
        <sz val="7"/>
        <rFont val="Calibri"/>
        <family val="2"/>
      </rPr>
      <t>I0073</t>
    </r>
  </si>
  <si>
    <r>
      <rPr>
        <sz val="7"/>
        <rFont val="Calibri"/>
        <family val="2"/>
      </rPr>
      <t>ANEL DE BORRACHA P/TUBO PVC 100MM (4'')</t>
    </r>
  </si>
  <si>
    <r>
      <rPr>
        <sz val="7"/>
        <rFont val="Calibri"/>
        <family val="2"/>
      </rPr>
      <t>I1326</t>
    </r>
  </si>
  <si>
    <r>
      <rPr>
        <sz val="7"/>
        <rFont val="Calibri"/>
        <family val="2"/>
      </rPr>
      <t>JUNÇÃO SIMPLES PVC BRANCO C/INSP.P/ESG.DIAM.100MM</t>
    </r>
  </si>
  <si>
    <r>
      <rPr>
        <sz val="7"/>
        <rFont val="Calibri"/>
        <family val="2"/>
      </rPr>
      <t>I1351</t>
    </r>
  </si>
  <si>
    <r>
      <rPr>
        <sz val="7"/>
        <rFont val="Calibri"/>
        <family val="2"/>
      </rPr>
      <t>LUBRIFICANTE PARA TUBO DE PVC</t>
    </r>
  </si>
  <si>
    <r>
      <rPr>
        <b/>
        <sz val="8"/>
        <rFont val="Arial"/>
        <family val="2"/>
      </rPr>
      <t>13.8. 89827 - JUNÇÃO SIMPLES, PVC, SERIE NORMAL, ESGOTO PREDIAL, DN 50 X 50 MM, JUNTA ELÁSTICA, FORNECIDO E INSTALADO EM PRUMADA DE ESGOTO SANITÁRIO OU VENTILAÇÃO. AF_12/2014 (UN)</t>
    </r>
  </si>
  <si>
    <r>
      <rPr>
        <sz val="7"/>
        <rFont val="Calibri"/>
        <family val="2"/>
      </rPr>
      <t>00000296</t>
    </r>
  </si>
  <si>
    <r>
      <rPr>
        <sz val="7"/>
        <rFont val="Calibri"/>
        <family val="2"/>
      </rPr>
      <t>ANEL BORRACHA PARA TUBO ESGOTO PREDIAL DN 50 MM (NBR 5688)</t>
    </r>
  </si>
  <si>
    <r>
      <rPr>
        <sz val="7"/>
        <rFont val="Calibri"/>
        <family val="2"/>
      </rPr>
      <t>00003662</t>
    </r>
  </si>
  <si>
    <r>
      <rPr>
        <sz val="7"/>
        <rFont val="Calibri"/>
        <family val="2"/>
      </rPr>
      <t>JUNCAO SIMPLES, PVC, DN 50 X 50 MM, SERIE NORMAL PARA ESGOTO PREDIAL</t>
    </r>
  </si>
  <si>
    <r>
      <rPr>
        <sz val="7"/>
        <rFont val="Calibri"/>
        <family val="2"/>
      </rPr>
      <t>00020078</t>
    </r>
  </si>
  <si>
    <r>
      <rPr>
        <sz val="7"/>
        <rFont val="Calibri"/>
        <family val="2"/>
      </rPr>
      <t>PASTA LUBRIFICANTE PARA TUBOS E CONEXOES COM JUNTA ELASTICA (USO EM PVC, ACO, POLIETILENO E OUTROS) ( DE *400* G)</t>
    </r>
  </si>
  <si>
    <r>
      <rPr>
        <b/>
        <sz val="8"/>
        <rFont val="Arial"/>
        <family val="2"/>
      </rPr>
      <t>13.9. 89724 - JOELHO 90 GRAUS, PVC, SERIE NORMAL, ESGOTO PREDIAL, DN 40 MM, JUNTA SOLDÁVEL, FORNECIDO E INSTALADO EM RAMAL DE DESCARGA OU RAMAL DE ESGOTO SANITÁRIO. AF_12/2014 (UN)</t>
    </r>
  </si>
  <si>
    <r>
      <rPr>
        <sz val="7"/>
        <rFont val="Calibri"/>
        <family val="2"/>
      </rPr>
      <t>00003517</t>
    </r>
  </si>
  <si>
    <r>
      <rPr>
        <sz val="7"/>
        <rFont val="Calibri"/>
        <family val="2"/>
      </rPr>
      <t>JOELHO PVC, SOLDAVEL, BB, 90 GRAUS, DN 40 MM, PARA ESGOTO PREDIAL</t>
    </r>
  </si>
  <si>
    <r>
      <rPr>
        <b/>
        <sz val="8"/>
        <rFont val="Arial"/>
        <family val="2"/>
      </rPr>
      <t>13.10. 89809 - JOELHO 90 GRAUS, PVC, SERIE NORMAL, ESGOTO PREDIAL, DN 100 MM, JUNTA ELÁSTICA, FORNECIDO E INSTALADO EM PRUMADA DE ESGOTO SANITÁRIO OU VENTILAÇÃO. AF_12/2014 (UN)</t>
    </r>
  </si>
  <si>
    <r>
      <rPr>
        <sz val="7"/>
        <rFont val="Calibri"/>
        <family val="2"/>
      </rPr>
      <t>00000301</t>
    </r>
  </si>
  <si>
    <r>
      <rPr>
        <sz val="7"/>
        <rFont val="Calibri"/>
        <family val="2"/>
      </rPr>
      <t>ANEL BORRACHA PARA TUBO ESGOTO PREDIAL, DN 100 MM (NBR 5688)</t>
    </r>
  </si>
  <si>
    <r>
      <rPr>
        <sz val="7"/>
        <rFont val="Calibri"/>
        <family val="2"/>
      </rPr>
      <t>00003520</t>
    </r>
  </si>
  <si>
    <r>
      <rPr>
        <sz val="7"/>
        <rFont val="Calibri"/>
        <family val="2"/>
      </rPr>
      <t>JOELHO PVC, SOLDAVEL, PB, 90 GRAUS, DN 100 MM, PARA ESGOTO PREDIAL</t>
    </r>
  </si>
  <si>
    <r>
      <rPr>
        <b/>
        <sz val="8"/>
        <rFont val="Arial"/>
        <family val="2"/>
      </rPr>
      <t>13.11. 89801 - JOELHO 90 GRAUS, PVC, SERIE NORMAL, ESGOTO PREDIAL, DN 50 MM, JUNTA ELÁSTICA, FORNECIDO E INSTALADO EM PRUMADA DE ESGOTO SANITÁRIO OU VENTILAÇÃO. AF_12/2014 (UN)</t>
    </r>
  </si>
  <si>
    <r>
      <rPr>
        <sz val="7"/>
        <rFont val="Calibri"/>
        <family val="2"/>
      </rPr>
      <t>00003526</t>
    </r>
  </si>
  <si>
    <r>
      <rPr>
        <sz val="7"/>
        <rFont val="Calibri"/>
        <family val="2"/>
      </rPr>
      <t>JOELHO PVC, SOLDAVEL, PB, 90 GRAUS, DN 50 MM, PARA ESGOTO PREDIAL</t>
    </r>
  </si>
  <si>
    <r>
      <rPr>
        <b/>
        <sz val="8"/>
        <rFont val="Arial"/>
        <family val="2"/>
      </rPr>
      <t>13.12. C3586 - CAIXA SIFONADA 150X150X50cm COM GRELHA - PADRÃO POPULAR (UN)</t>
    </r>
  </si>
  <si>
    <r>
      <rPr>
        <sz val="7"/>
        <rFont val="Calibri"/>
        <family val="2"/>
      </rPr>
      <t>I0435</t>
    </r>
  </si>
  <si>
    <r>
      <rPr>
        <sz val="7"/>
        <rFont val="Calibri"/>
        <family val="2"/>
      </rPr>
      <t>CAIXA SIFONADA 150 x 150 x 50 COM GRELHA</t>
    </r>
  </si>
  <si>
    <r>
      <rPr>
        <b/>
        <sz val="8"/>
        <rFont val="Arial"/>
        <family val="2"/>
      </rPr>
      <t>13.13. C4923 - CAIXA SIFONADA PVC 100 X 100 X 50MM, ACABAMENTO BRANCO (GRELHA OU TAMPA CEGA) (UN)</t>
    </r>
  </si>
  <si>
    <r>
      <rPr>
        <sz val="7"/>
        <rFont val="Calibri"/>
        <family val="2"/>
      </rPr>
      <t>I9404</t>
    </r>
  </si>
  <si>
    <r>
      <rPr>
        <sz val="7"/>
        <rFont val="Calibri"/>
        <family val="2"/>
      </rPr>
      <t>CAIXA SIFONADA PVC 100 X 100 X 50MM, ACABAMENTO BRANCO (GRELHA OU TAMPA CEGA)</t>
    </r>
  </si>
  <si>
    <r>
      <rPr>
        <b/>
        <sz val="8"/>
        <rFont val="Arial"/>
        <family val="2"/>
      </rPr>
      <t>13.14. C2347 - TÊ PVC BRANCO C/REDUÇÃO P/ESGOTO D=100X50mm (4"X2") (UN)</t>
    </r>
  </si>
  <si>
    <r>
      <rPr>
        <sz val="7"/>
        <rFont val="Calibri"/>
        <family val="2"/>
      </rPr>
      <t>I2008</t>
    </r>
  </si>
  <si>
    <r>
      <rPr>
        <sz val="7"/>
        <rFont val="Calibri"/>
        <family val="2"/>
      </rPr>
      <t>TE PVC REDUÇÃO ESGOTO DE 100X50MM</t>
    </r>
  </si>
  <si>
    <r>
      <rPr>
        <b/>
        <sz val="8"/>
        <rFont val="Arial"/>
        <family val="2"/>
      </rPr>
      <t>14.1. 061482 - HASTE ATERRAMENTO 3/4 COPERWELD 40-3 METROS (UN)</t>
    </r>
  </si>
  <si>
    <r>
      <rPr>
        <sz val="7"/>
        <rFont val="Calibri"/>
        <family val="2"/>
      </rPr>
      <t>I099250</t>
    </r>
  </si>
  <si>
    <r>
      <rPr>
        <sz val="7"/>
        <rFont val="Calibri"/>
        <family val="2"/>
      </rPr>
      <t>ELETRICISTA</t>
    </r>
  </si>
  <si>
    <r>
      <rPr>
        <sz val="7"/>
        <rFont val="Calibri"/>
        <family val="2"/>
      </rPr>
      <t>I099806</t>
    </r>
  </si>
  <si>
    <r>
      <rPr>
        <sz val="7"/>
        <rFont val="Calibri"/>
        <family val="2"/>
      </rPr>
      <t>AJUDANTE DE ELETRICISTA</t>
    </r>
  </si>
  <si>
    <r>
      <rPr>
        <sz val="7"/>
        <rFont val="Calibri"/>
        <family val="2"/>
      </rPr>
      <t>I005007</t>
    </r>
  </si>
  <si>
    <r>
      <rPr>
        <sz val="7"/>
        <rFont val="Calibri"/>
        <family val="2"/>
      </rPr>
      <t>HASTE DE ATERRAMENTO COPPERWELD 3/4" X 3,0 M</t>
    </r>
  </si>
  <si>
    <r>
      <rPr>
        <b/>
        <sz val="8"/>
        <rFont val="Arial"/>
        <family val="2"/>
      </rPr>
      <t>14.2. 91835 - ELETRODUTO FLEXÍVEL CORRUGADO REFORÇADO, PVC, DN 25 MM (3/4"), PARA CIRCUITOS TERMINAIS, INSTALADO EM FORRO - FORNECIMENTO E INSTALAÇÃO. AF_12/2015 (M)</t>
    </r>
  </si>
  <si>
    <r>
      <rPr>
        <sz val="7"/>
        <rFont val="Calibri"/>
        <family val="2"/>
      </rPr>
      <t>00039244</t>
    </r>
  </si>
  <si>
    <r>
      <rPr>
        <sz val="7"/>
        <rFont val="Calibri"/>
        <family val="2"/>
      </rPr>
      <t>ELETRODUTO PVC FLEXIVEL CORRUGADO, REFORCADO, COR LARANJA, DE 25 MM, PARA LAJES E PISOS</t>
    </r>
  </si>
  <si>
    <r>
      <rPr>
        <sz val="7"/>
        <rFont val="Calibri"/>
        <family val="2"/>
      </rPr>
      <t>88247</t>
    </r>
  </si>
  <si>
    <r>
      <rPr>
        <sz val="7"/>
        <rFont val="Calibri"/>
        <family val="2"/>
      </rPr>
      <t>AUXILIAR DE ELETRICISTA COM ENCARGOS COMPLEMENTARES</t>
    </r>
  </si>
  <si>
    <r>
      <rPr>
        <sz val="7"/>
        <rFont val="Calibri"/>
        <family val="2"/>
      </rPr>
      <t>88264</t>
    </r>
  </si>
  <si>
    <r>
      <rPr>
        <sz val="7"/>
        <rFont val="Calibri"/>
        <family val="2"/>
      </rPr>
      <t>ELETRICISTA COM ENCARGOS COMPLEMENTARES</t>
    </r>
  </si>
  <si>
    <r>
      <rPr>
        <sz val="7"/>
        <rFont val="Calibri"/>
        <family val="2"/>
      </rPr>
      <t>91170</t>
    </r>
  </si>
  <si>
    <r>
      <rPr>
        <sz val="7"/>
        <rFont val="Calibri"/>
        <family val="2"/>
      </rPr>
      <t>FIXAÇÃO DE TUBOS HORIZONTAIS DE PVC, CPVC OU COBRE DIÂMETROS MENORES OU IGUAIS A 40 MM OU ELETROCALHAS ATÉ 150MM DE LARGURA, COM ABRAÇADEIRA METÁLICA RÍGIDA TIPO D 1/2?, FIXADA EM PERFILADO EM LAJE. AF_05/2015</t>
    </r>
  </si>
  <si>
    <r>
      <rPr>
        <b/>
        <sz val="8"/>
        <rFont val="Arial"/>
        <family val="2"/>
      </rPr>
      <t>14.3. 91867 - ELETRODUTO RÍGIDO ROSCÁVEL, PVC, DN 25 MM (3/4"), PARA CIRCUITOS TERMINAIS, INSTALADO EM LAJE - FORNECIMENTO E INSTALAÇÃO. AF_12/2015 (M)</t>
    </r>
  </si>
  <si>
    <r>
      <rPr>
        <sz val="7"/>
        <rFont val="Calibri"/>
        <family val="2"/>
      </rPr>
      <t>00002674</t>
    </r>
  </si>
  <si>
    <r>
      <rPr>
        <sz val="7"/>
        <rFont val="Calibri"/>
        <family val="2"/>
      </rPr>
      <t>ELETRODUTO DE PVC RIGIDO ROSCAVEL DE 3/4 ", SEM LUVA</t>
    </r>
  </si>
  <si>
    <r>
      <rPr>
        <sz val="7"/>
        <rFont val="Calibri"/>
        <family val="2"/>
      </rPr>
      <t>00034562</t>
    </r>
  </si>
  <si>
    <r>
      <rPr>
        <sz val="7"/>
        <rFont val="Calibri"/>
        <family val="2"/>
      </rPr>
      <t>ARAME RECOZIDO 16 BWG, 1,60 MM (0,016 KG/M)</t>
    </r>
  </si>
  <si>
    <r>
      <rPr>
        <b/>
        <sz val="8"/>
        <rFont val="Arial"/>
        <family val="2"/>
      </rPr>
      <t>14.4. 91865 - ELETRODUTO RÍGIDO ROSCÁVEL, PVC, DN 40 MM (1 1/4"), PARA CIRCUITOS TERMINAIS, INSTALADO EM FORRO - FORNECIMENTO E INSTALAÇÃO. AF_12/2015 (M)</t>
    </r>
  </si>
  <si>
    <r>
      <rPr>
        <sz val="7"/>
        <rFont val="Calibri"/>
        <family val="2"/>
      </rPr>
      <t>00002684</t>
    </r>
  </si>
  <si>
    <r>
      <rPr>
        <sz val="7"/>
        <rFont val="Calibri"/>
        <family val="2"/>
      </rPr>
      <t>ELETRODUTO DE PVC RIGIDO ROSCAVEL DE 1 1/4 ", SEM LUVA</t>
    </r>
  </si>
  <si>
    <r>
      <rPr>
        <b/>
        <sz val="8"/>
        <rFont val="Arial"/>
        <family val="2"/>
      </rPr>
      <t>14.5. C1020 - CURVA P/ELETRODUTO PVC ROSC. D= 25mm (3/4") (UN)</t>
    </r>
  </si>
  <si>
    <r>
      <rPr>
        <sz val="7"/>
        <rFont val="Calibri"/>
        <family val="2"/>
      </rPr>
      <t>I0042</t>
    </r>
  </si>
  <si>
    <r>
      <rPr>
        <sz val="7"/>
        <rFont val="Calibri"/>
        <family val="2"/>
      </rPr>
      <t>I2312</t>
    </r>
  </si>
  <si>
    <r>
      <rPr>
        <sz val="7"/>
        <rFont val="Calibri"/>
        <family val="2"/>
      </rPr>
      <t>I0957</t>
    </r>
  </si>
  <si>
    <r>
      <rPr>
        <sz val="7"/>
        <rFont val="Calibri"/>
        <family val="2"/>
      </rPr>
      <t>CURVA DE PVC RIGIDO PARA ELETRODUTO DE 3/4''</t>
    </r>
  </si>
  <si>
    <r>
      <rPr>
        <b/>
        <sz val="8"/>
        <rFont val="Arial"/>
        <family val="2"/>
      </rPr>
      <t>14.6. C2062 - QUADRO DE DISTRIBUIÇÃO GERAL BAIXA TENSÃO, C/ACESSÓRIOS - 1UN DE MEDIÇÃO (UN)</t>
    </r>
  </si>
  <si>
    <r>
      <rPr>
        <sz val="7"/>
        <rFont val="Calibri"/>
        <family val="2"/>
      </rPr>
      <t>I1088</t>
    </r>
  </si>
  <si>
    <r>
      <rPr>
        <sz val="7"/>
        <rFont val="Calibri"/>
        <family val="2"/>
      </rPr>
      <t>ELETROTECNICO MONTADOR</t>
    </r>
  </si>
  <si>
    <r>
      <rPr>
        <sz val="7"/>
        <rFont val="Calibri"/>
        <family val="2"/>
      </rPr>
      <t>I0055</t>
    </r>
  </si>
  <si>
    <r>
      <rPr>
        <sz val="7"/>
        <rFont val="Calibri"/>
        <family val="2"/>
      </rPr>
      <t>AMPERIMETRO (96 X 96)MM - ESC. 0 A 500A</t>
    </r>
  </si>
  <si>
    <r>
      <rPr>
        <sz val="7"/>
        <rFont val="Calibri"/>
        <family val="2"/>
      </rPr>
      <t>I0199</t>
    </r>
  </si>
  <si>
    <r>
      <rPr>
        <sz val="7"/>
        <rFont val="Calibri"/>
        <family val="2"/>
      </rPr>
      <t>BASE FUSIVEL DIAZED 25A. COMPLETA</t>
    </r>
  </si>
  <si>
    <r>
      <rPr>
        <sz val="7"/>
        <rFont val="Calibri"/>
        <family val="2"/>
      </rPr>
      <t>I0546</t>
    </r>
  </si>
  <si>
    <r>
      <rPr>
        <sz val="7"/>
        <rFont val="Calibri"/>
        <family val="2"/>
      </rPr>
      <t>CHAVE COMUTADORA P/ AMPERIMETRO/VOLTIMETRO</t>
    </r>
  </si>
  <si>
    <r>
      <rPr>
        <sz val="7"/>
        <rFont val="Calibri"/>
        <family val="2"/>
      </rPr>
      <t>I1204</t>
    </r>
  </si>
  <si>
    <r>
      <rPr>
        <sz val="7"/>
        <rFont val="Calibri"/>
        <family val="2"/>
      </rPr>
      <t>FUSIVEL DIAZED 25A</t>
    </r>
  </si>
  <si>
    <r>
      <rPr>
        <sz val="7"/>
        <rFont val="Calibri"/>
        <family val="2"/>
      </rPr>
      <t>I1476</t>
    </r>
  </si>
  <si>
    <r>
      <rPr>
        <sz val="7"/>
        <rFont val="Calibri"/>
        <family val="2"/>
      </rPr>
      <t>LÂMPADA SINALIZADORAS ATE 5W</t>
    </r>
  </si>
  <si>
    <r>
      <rPr>
        <sz val="7"/>
        <rFont val="Calibri"/>
        <family val="2"/>
      </rPr>
      <t>I1767</t>
    </r>
  </si>
  <si>
    <r>
      <rPr>
        <sz val="7"/>
        <rFont val="Calibri"/>
        <family val="2"/>
      </rPr>
      <t>QUADRO METÁLICO P/QGBT (1,90 X 0,90 X 0,60)M</t>
    </r>
  </si>
  <si>
    <r>
      <rPr>
        <sz val="7"/>
        <rFont val="Calibri"/>
        <family val="2"/>
      </rPr>
      <t>I2156</t>
    </r>
  </si>
  <si>
    <r>
      <rPr>
        <sz val="7"/>
        <rFont val="Calibri"/>
        <family val="2"/>
      </rPr>
      <t>TRANSFORMADOR CORRENTE EM QD DE 0 - 100A</t>
    </r>
  </si>
  <si>
    <r>
      <rPr>
        <sz val="7"/>
        <rFont val="Calibri"/>
        <family val="2"/>
      </rPr>
      <t>I2263</t>
    </r>
  </si>
  <si>
    <r>
      <rPr>
        <sz val="7"/>
        <rFont val="Calibri"/>
        <family val="2"/>
      </rPr>
      <t>VOLTÍMETRO (96 X 96)MM - ESC. 0 A 500V</t>
    </r>
  </si>
  <si>
    <r>
      <rPr>
        <b/>
        <sz val="8"/>
        <rFont val="Arial"/>
        <family val="2"/>
      </rPr>
      <t>14.7. 74130/001 - DISJUNTOR TERMOMAGNETICO MONOPOLAR PADRAO NEMA (AMERICANO) 10 A 30A 240V, FORNECIMENTO E INSTALACAO (UN)</t>
    </r>
  </si>
  <si>
    <r>
      <rPr>
        <sz val="7"/>
        <rFont val="Calibri"/>
        <family val="2"/>
      </rPr>
      <t>00002370</t>
    </r>
  </si>
  <si>
    <r>
      <rPr>
        <sz val="7"/>
        <rFont val="Calibri"/>
        <family val="2"/>
      </rPr>
      <t>DISJUNTOR TIPO NEMA, MONOPOLAR 10 ATE 30A, TENSAO MAXIMA DE 240 V</t>
    </r>
  </si>
  <si>
    <r>
      <rPr>
        <b/>
        <sz val="8"/>
        <rFont val="Arial"/>
        <family val="2"/>
      </rPr>
      <t>14.8. 92000 - TOMADA BAIXA DE EMBUTIR (1 MÓDULO), 2P+T 10 A, INCLUINDO SUPORTE E PLACA - FORNECIMENTO E INSTALAÇÃO. AF_12/2015 (UN)</t>
    </r>
  </si>
  <si>
    <r>
      <rPr>
        <sz val="7"/>
        <rFont val="Calibri"/>
        <family val="2"/>
      </rPr>
      <t>91946</t>
    </r>
  </si>
  <si>
    <r>
      <rPr>
        <sz val="7"/>
        <rFont val="Calibri"/>
        <family val="2"/>
      </rPr>
      <t>SUPORTE PARAFUSADO COM PLACA DE ENCAIXE 4" X 2" MÉDIO (1,30 M DO PISO) PARA PONTO ELÉTRICO - FORNECIMENTO E INSTALAÇÃO. AF_12/2015</t>
    </r>
  </si>
  <si>
    <r>
      <rPr>
        <sz val="7"/>
        <rFont val="Calibri"/>
        <family val="2"/>
      </rPr>
      <t>91998</t>
    </r>
  </si>
  <si>
    <r>
      <rPr>
        <sz val="7"/>
        <rFont val="Calibri"/>
        <family val="2"/>
      </rPr>
      <t>TOMADA BAIXA DE EMBUTIR (1 MÓDULO), 2P+T 10 A, SEM SUPORTE E SEM PLACA - FORNECIMENTO E INSTALAÇÃO. AF_12/2015</t>
    </r>
  </si>
  <si>
    <r>
      <rPr>
        <b/>
        <sz val="8"/>
        <rFont val="Arial"/>
        <family val="2"/>
      </rPr>
      <t>14.9. 91981 - INTERRUPTOR BIPOLAR (1 MÓDULO), 10A/250V, INCLUINDO SUPORTE E PLACA - FORNECIMENTO E INSTALAÇÃO. AF_09/2017 (UN)</t>
    </r>
  </si>
  <si>
    <r>
      <rPr>
        <sz val="7"/>
        <rFont val="Calibri"/>
        <family val="2"/>
      </rPr>
      <t>91980</t>
    </r>
  </si>
  <si>
    <r>
      <rPr>
        <sz val="7"/>
        <rFont val="Calibri"/>
        <family val="2"/>
      </rPr>
      <t>INTERRUPTOR BIPOLAR (1 MÓDULO), 10A/250V, SEM SUPORTE E SEM PLACA - FORNECIMENTO E INSTALAÇÃO. AF_09/2017</t>
    </r>
  </si>
  <si>
    <r>
      <rPr>
        <b/>
        <sz val="8"/>
        <rFont val="Arial"/>
        <family val="2"/>
      </rPr>
      <t>14.10. 91926 - CABO DE COBRE FLEXÍVEL ISOLADO, 2,5 MM², ANTI-CHAMA 450/750 V, PARA CIRCUITOS TERMINAIS - FORNECIMENTO E INSTALAÇÃO. AF_12/2015 (M)</t>
    </r>
  </si>
  <si>
    <r>
      <rPr>
        <sz val="7"/>
        <rFont val="Calibri"/>
        <family val="2"/>
      </rPr>
      <t>00001014</t>
    </r>
  </si>
  <si>
    <r>
      <rPr>
        <sz val="7"/>
        <rFont val="Calibri"/>
        <family val="2"/>
      </rPr>
      <t>CABO DE COBRE, FLEXIVEL, CLASSE 4 OU 5, ISOLACAO EM PVC/A, ANTICHAMA BWF-B, 1 CONDUTOR, 450/750 V, SECAO NOMINAL 2,5 MM2</t>
    </r>
  </si>
  <si>
    <r>
      <rPr>
        <sz val="7"/>
        <rFont val="Calibri"/>
        <family val="2"/>
      </rPr>
      <t>00021127</t>
    </r>
  </si>
  <si>
    <r>
      <rPr>
        <sz val="7"/>
        <rFont val="Calibri"/>
        <family val="2"/>
      </rPr>
      <t>FITA ISOLANTE ADESIVA ANTICHAMA, USO ATE 750 V, EM ROLO DE 19 MM X 5 M</t>
    </r>
  </si>
  <si>
    <r>
      <rPr>
        <b/>
        <sz val="8"/>
        <rFont val="Arial"/>
        <family val="2"/>
      </rPr>
      <t>14.11. 92984 - CABO DE COBRE FLEXÍVEL ISOLADO, 25 MM², ANTI-CHAMA 0,6/1,0 KV, PARA DISTRIBUIÇÃO - FORNECIMENTO E INSTALAÇÃO. AF_12/2015 (M)</t>
    </r>
  </si>
  <si>
    <r>
      <rPr>
        <sz val="7"/>
        <rFont val="Calibri"/>
        <family val="2"/>
      </rPr>
      <t>00000996</t>
    </r>
  </si>
  <si>
    <r>
      <rPr>
        <sz val="7"/>
        <rFont val="Calibri"/>
        <family val="2"/>
      </rPr>
      <t>CABO DE COBRE, FLEXIVEL, CLASSE 4 OU 5, ISOLACAO EM PVC/A, ANTICHAMA BWF-B, COBERTURA PVC-ST1, ANTICHAMA BWF-B, 1 CONDUTOR, 0,6/1 KV, SECAO NOMINAL 25 MM2</t>
    </r>
  </si>
  <si>
    <r>
      <rPr>
        <b/>
        <sz val="8"/>
        <rFont val="Arial"/>
        <family val="2"/>
      </rPr>
      <t xml:space="preserve">14.12. C4101 - LUMINÁRIA DE EMBUTIR COM ANEL DE ARREMATE EM ALUMÍNIO ANODIZADO E PINTADO POR PROCESSO ELETROSTÁTICO COM REFLETOR EM ALUMÍNIO ANODIZADO ALTO BRILHO COM CONTROLE ANTIOFUSCAMENTO PARA LÂMPADA FLUORESCENTE </t>
    </r>
  </si>
  <si>
    <r>
      <rPr>
        <b/>
        <sz val="8"/>
        <rFont val="Arial"/>
        <family val="2"/>
      </rPr>
      <t>COMPACTA DE 26W (UN)</t>
    </r>
  </si>
  <si>
    <r>
      <rPr>
        <sz val="7"/>
        <rFont val="Calibri"/>
        <family val="2"/>
      </rPr>
      <t>I7922</t>
    </r>
  </si>
  <si>
    <r>
      <rPr>
        <sz val="7"/>
        <rFont val="Calibri"/>
        <family val="2"/>
      </rPr>
      <t>LUMINÁRIA DE EMBUTIR COM ANEL DE ARREMATE EM ALUMÍNIO ANODIZADO E PINTADO POR PROCESSO ELETROSTÁTICO COM REFLETOR EM ALUMÍNIO ANODIZADO ALTO BRILHO COM CONTROLE ANTIOFUSCAMENTO PARA LÂMPADA FLUORESCENTE COMPACTA DE 26W</t>
    </r>
  </si>
  <si>
    <r>
      <rPr>
        <b/>
        <sz val="8"/>
        <rFont val="Arial"/>
        <family val="2"/>
      </rPr>
      <t>14.13. I9119 - LUMINÁRIA DE EMBUTIR/SOBREPOR RETANGULAR EM ALUMÍNIO LACADO (ANODIZADO) COM REFLETOR EM ALUMÍNIO ESPELHO, PARA 2 LED'S TUBULAR T5 DE 10W, TONALIDADE 5000K, COR BRANCA, GRAU DE PROTEÇÃO IP20 E 1 LED DRIVER - COMPLETA (UN)</t>
    </r>
  </si>
  <si>
    <r>
      <rPr>
        <b/>
        <sz val="8"/>
        <rFont val="Arial"/>
        <family val="2"/>
      </rPr>
      <t>14.14. C4412 - LUMINÁRIA DE PISO MÓVEL, CORPO EM ALUMÍNIO, REFLETOR EM ALUMÍNIO ANODIZADO COM PROTETOR DE VIDRO EM GRADE DE ALUMÍNIO (UN)</t>
    </r>
  </si>
  <si>
    <r>
      <rPr>
        <sz val="7"/>
        <rFont val="Calibri"/>
        <family val="2"/>
      </rPr>
      <t>I8350</t>
    </r>
  </si>
  <si>
    <r>
      <rPr>
        <sz val="7"/>
        <rFont val="Calibri"/>
        <family val="2"/>
      </rPr>
      <t>LUMINÁRIA DE PISO MÓVEL, CORPO EM ALUMÍNIO, REFLETOR EM ALUM. ANOD. C/ PROTETOR DE VIDRO EM GRADE DE ALUMÍNIO</t>
    </r>
  </si>
  <si>
    <r>
      <rPr>
        <sz val="7"/>
        <rFont val="Calibri"/>
        <family val="2"/>
      </rPr>
      <t>I8351</t>
    </r>
  </si>
  <si>
    <r>
      <rPr>
        <sz val="7"/>
        <rFont val="Calibri"/>
        <family val="2"/>
      </rPr>
      <t>LÂMPADA VAPOR METÁLICO DE 70W/220V</t>
    </r>
  </si>
  <si>
    <r>
      <rPr>
        <sz val="7"/>
        <rFont val="Calibri"/>
        <family val="2"/>
      </rPr>
      <t>I8352</t>
    </r>
  </si>
  <si>
    <r>
      <rPr>
        <sz val="7"/>
        <rFont val="Calibri"/>
        <family val="2"/>
      </rPr>
      <t>REATOR / IGNITOR</t>
    </r>
  </si>
  <si>
    <r>
      <rPr>
        <b/>
        <sz val="8"/>
        <rFont val="Arial"/>
        <family val="2"/>
      </rPr>
      <t>15.1. C0357 - BANCADA DE GRANITO (OUTRAS CORES) E= 3cm (COLOCADO) (M2)</t>
    </r>
  </si>
  <si>
    <r>
      <rPr>
        <sz val="7"/>
        <rFont val="Calibri"/>
        <family val="2"/>
      </rPr>
      <t>I1230</t>
    </r>
  </si>
  <si>
    <r>
      <rPr>
        <sz val="7"/>
        <rFont val="Calibri"/>
        <family val="2"/>
      </rPr>
      <t>BANCADA DE GRANITO OUTRAS CORES, E=3cm</t>
    </r>
  </si>
  <si>
    <r>
      <rPr>
        <b/>
        <sz val="8"/>
        <rFont val="Arial"/>
        <family val="2"/>
      </rPr>
      <t>15.2. 190247 - VASO SANITARIO CONVENCIONAL BRANC0 IBIZA 15300 - INCEPA  (UN)</t>
    </r>
  </si>
  <si>
    <r>
      <rPr>
        <sz val="7"/>
        <rFont val="Calibri"/>
        <family val="2"/>
      </rPr>
      <t>I099034</t>
    </r>
  </si>
  <si>
    <r>
      <rPr>
        <sz val="7"/>
        <rFont val="Calibri"/>
        <family val="2"/>
      </rPr>
      <t>AJUDANTE DE BOMBEIRO OU ENCANADOR</t>
    </r>
  </si>
  <si>
    <r>
      <rPr>
        <sz val="7"/>
        <rFont val="Calibri"/>
        <family val="2"/>
      </rPr>
      <t>I099200</t>
    </r>
  </si>
  <si>
    <r>
      <rPr>
        <sz val="7"/>
        <rFont val="Calibri"/>
        <family val="2"/>
      </rPr>
      <t>BOMBEIRO OU ENCANADOR</t>
    </r>
  </si>
  <si>
    <r>
      <rPr>
        <sz val="7"/>
        <rFont val="Calibri"/>
        <family val="2"/>
      </rPr>
      <t>I001100</t>
    </r>
  </si>
  <si>
    <r>
      <rPr>
        <sz val="7"/>
        <rFont val="Calibri"/>
        <family val="2"/>
      </rPr>
      <t>CIMENTO DIRECIONAL BRANCO (SACO 1 QUILOGRAMA)</t>
    </r>
  </si>
  <si>
    <r>
      <rPr>
        <sz val="7"/>
        <rFont val="Calibri"/>
        <family val="2"/>
      </rPr>
      <t>I004460</t>
    </r>
  </si>
  <si>
    <r>
      <rPr>
        <sz val="7"/>
        <rFont val="Calibri"/>
        <family val="2"/>
      </rPr>
      <t>TUBO DECA 1600 PARA LIGACAO DE VASO SANITARIO</t>
    </r>
  </si>
  <si>
    <r>
      <rPr>
        <sz val="7"/>
        <rFont val="Calibri"/>
        <family val="2"/>
      </rPr>
      <t>I008200</t>
    </r>
  </si>
  <si>
    <r>
      <rPr>
        <sz val="7"/>
        <rFont val="Calibri"/>
        <family val="2"/>
      </rPr>
      <t>PARAFUSO DE FIXACAO PARA APARELHO SANITARIO BC SUPER</t>
    </r>
  </si>
  <si>
    <r>
      <rPr>
        <sz val="7"/>
        <rFont val="Calibri"/>
        <family val="2"/>
      </rPr>
      <t>I031069</t>
    </r>
  </si>
  <si>
    <r>
      <rPr>
        <sz val="7"/>
        <rFont val="Calibri"/>
        <family val="2"/>
      </rPr>
      <t>VASO SANITARIO CONVENCIONAL BRANC0 IBIZA 15300 - INCEPA</t>
    </r>
  </si>
  <si>
    <r>
      <rPr>
        <sz val="7"/>
        <rFont val="Calibri"/>
        <family val="2"/>
      </rPr>
      <t>I040171</t>
    </r>
  </si>
  <si>
    <r>
      <rPr>
        <sz val="7"/>
        <rFont val="Calibri"/>
        <family val="2"/>
      </rPr>
      <t>ANEL DE CERA PARA VEDACAO DE VASO SANITARIO- DECA</t>
    </r>
  </si>
  <si>
    <r>
      <rPr>
        <b/>
        <sz val="8"/>
        <rFont val="Arial"/>
        <family val="2"/>
      </rPr>
      <t>15.3. 95545 - SABONETEIRA DE PAREDE EM METAL CROMADO, INCLUSO FIXAÇÃO. AF_10/2016 (UN)</t>
    </r>
  </si>
  <si>
    <r>
      <rPr>
        <sz val="7"/>
        <rFont val="Calibri"/>
        <family val="2"/>
      </rPr>
      <t>00011757</t>
    </r>
  </si>
  <si>
    <r>
      <rPr>
        <sz val="7"/>
        <rFont val="Calibri"/>
        <family val="2"/>
      </rPr>
      <t>SABONETEIRA DE PAREDE EM METAL CROMADO</t>
    </r>
  </si>
  <si>
    <r>
      <rPr>
        <sz val="7"/>
        <rFont val="Calibri"/>
        <family val="2"/>
      </rPr>
      <t>95541</t>
    </r>
  </si>
  <si>
    <r>
      <rPr>
        <sz val="7"/>
        <rFont val="Calibri"/>
        <family val="2"/>
      </rPr>
      <t>FIXAÇÃO UTILIZANDO PARAFUSO E BUCHA DE NYLON, SOMENTE MÃO DE OBRA. AF_10/2016</t>
    </r>
  </si>
  <si>
    <r>
      <rPr>
        <b/>
        <sz val="8"/>
        <rFont val="Arial"/>
        <family val="2"/>
      </rPr>
      <t>15.4. 95542 - PORTA TOALHA ROSTO EM METAL CROMADO, TIPO ARGOLA, INCLUSO FIXAÇÃO. AF_10/2016 (UN)</t>
    </r>
  </si>
  <si>
    <r>
      <rPr>
        <sz val="7"/>
        <rFont val="Calibri"/>
        <family val="2"/>
      </rPr>
      <t>00021101</t>
    </r>
  </si>
  <si>
    <r>
      <rPr>
        <sz val="7"/>
        <rFont val="Calibri"/>
        <family val="2"/>
      </rPr>
      <t>PORTA TOALHA ROSTO EM METAL CROMADO, TIPO ARGOLA</t>
    </r>
  </si>
  <si>
    <r>
      <rPr>
        <b/>
        <sz val="8"/>
        <rFont val="Arial"/>
        <family val="2"/>
      </rPr>
      <t>15.5. C1898 - PEÇAS DE APOIO DEFICIENTES C/TUBO INOX P/WC'S (M)</t>
    </r>
  </si>
  <si>
    <r>
      <rPr>
        <sz val="7"/>
        <rFont val="Calibri"/>
        <family val="2"/>
      </rPr>
      <t>I1530</t>
    </r>
  </si>
  <si>
    <r>
      <rPr>
        <sz val="7"/>
        <rFont val="Calibri"/>
        <family val="2"/>
      </rPr>
      <t>MONTADOR</t>
    </r>
  </si>
  <si>
    <r>
      <rPr>
        <sz val="7"/>
        <rFont val="Calibri"/>
        <family val="2"/>
      </rPr>
      <t>I1646</t>
    </r>
  </si>
  <si>
    <r>
      <rPr>
        <sz val="7"/>
        <rFont val="Calibri"/>
        <family val="2"/>
      </rPr>
      <t>PEÇAS DE APOIO DEFICIENTE C/TUBO INOX EM WC'S</t>
    </r>
  </si>
  <si>
    <r>
      <rPr>
        <sz val="7"/>
        <rFont val="Calibri"/>
        <family val="2"/>
      </rPr>
      <t>86877</t>
    </r>
  </si>
  <si>
    <r>
      <rPr>
        <sz val="7"/>
        <rFont val="Calibri"/>
        <family val="2"/>
      </rPr>
      <t>VÁLVULA EM METAL CROMADO 1.1/2" X 1.1/2" PARA TANQUE OU LAVATÓRIO, COM OU SEM LADRÃO - FORNECIMENTO E INSTALAÇÃO. AF_12/2013</t>
    </r>
  </si>
  <si>
    <r>
      <rPr>
        <sz val="7"/>
        <rFont val="Calibri"/>
        <family val="2"/>
      </rPr>
      <t>86901</t>
    </r>
  </si>
  <si>
    <r>
      <rPr>
        <sz val="7"/>
        <rFont val="Calibri"/>
        <family val="2"/>
      </rPr>
      <t>I002858</t>
    </r>
  </si>
  <si>
    <r>
      <rPr>
        <sz val="7"/>
        <rFont val="Calibri"/>
        <family val="2"/>
      </rPr>
      <t>CUBA ACO INOXIDAVEL 0,46x0,42x22cm - FRANKE</t>
    </r>
  </si>
  <si>
    <r>
      <rPr>
        <b/>
        <sz val="8"/>
        <rFont val="Arial"/>
        <family val="2"/>
      </rPr>
      <t>15.8. C1151 - DUCHA P/ WC CROMADO (INSTALADO) (UN)</t>
    </r>
  </si>
  <si>
    <r>
      <rPr>
        <sz val="7"/>
        <rFont val="Calibri"/>
        <family val="2"/>
      </rPr>
      <t>I0797</t>
    </r>
  </si>
  <si>
    <r>
      <rPr>
        <sz val="7"/>
        <rFont val="Calibri"/>
        <family val="2"/>
      </rPr>
      <t>CHUVEIRO-DUCHA CROMADO 1/2''</t>
    </r>
  </si>
  <si>
    <r>
      <rPr>
        <b/>
        <sz val="8"/>
        <rFont val="Arial"/>
        <family val="2"/>
      </rPr>
      <t>15.9. C4000 - TORNEIRA TIPO JARDIM CROMADA (UN)</t>
    </r>
  </si>
  <si>
    <r>
      <rPr>
        <sz val="7"/>
        <rFont val="Calibri"/>
        <family val="2"/>
      </rPr>
      <t>I7496</t>
    </r>
  </si>
  <si>
    <r>
      <rPr>
        <sz val="7"/>
        <rFont val="Calibri"/>
        <family val="2"/>
      </rPr>
      <t>TORNEIRA P/ JARDIM CROMADA</t>
    </r>
  </si>
  <si>
    <r>
      <rPr>
        <b/>
        <sz val="8"/>
        <rFont val="Arial"/>
        <family val="2"/>
      </rPr>
      <t>15.10. 86909 - TORNEIRA CROMADA TUBO MÓVEL, DE MESA, 1/2" OU 3/4", PARA PIA DE COZINHA, PADRÃO ALTO - FORNECIMENTO E INSTALAÇÃO. AF_12/2013 (UN)</t>
    </r>
  </si>
  <si>
    <r>
      <rPr>
        <sz val="7"/>
        <rFont val="Calibri"/>
        <family val="2"/>
      </rPr>
      <t>00003146</t>
    </r>
  </si>
  <si>
    <r>
      <rPr>
        <sz val="7"/>
        <rFont val="Calibri"/>
        <family val="2"/>
      </rPr>
      <t>FITA VEDA ROSCA EM ROLOS DE 18 MM X 10 M (L X C)</t>
    </r>
  </si>
  <si>
    <r>
      <rPr>
        <sz val="7"/>
        <rFont val="Calibri"/>
        <family val="2"/>
      </rPr>
      <t>00011772</t>
    </r>
  </si>
  <si>
    <r>
      <rPr>
        <sz val="7"/>
        <rFont val="Calibri"/>
        <family val="2"/>
      </rPr>
      <t>TORNEIRA CROMADA DE MESA PARA COZINHA BICA MOVEL COM AREJADOR 1/2 " OU 3/4 " (REF 1167)</t>
    </r>
  </si>
  <si>
    <r>
      <rPr>
        <b/>
        <sz val="8"/>
        <rFont val="Arial"/>
        <family val="2"/>
      </rPr>
      <t>15.11. C2272 - SIFÃO DE PVC RÍGIDO D= 2" (INSTALADO) (UN)</t>
    </r>
  </si>
  <si>
    <r>
      <rPr>
        <sz val="7"/>
        <rFont val="Calibri"/>
        <family val="2"/>
      </rPr>
      <t>I1865</t>
    </r>
  </si>
  <si>
    <r>
      <rPr>
        <sz val="7"/>
        <rFont val="Calibri"/>
        <family val="2"/>
      </rPr>
      <t>SIFÃO PVC RIGIDO TIPO COPO DN 2"X2"</t>
    </r>
  </si>
  <si>
    <r>
      <rPr>
        <b/>
        <sz val="8"/>
        <rFont val="Arial"/>
        <family val="2"/>
      </rPr>
      <t>15.12. C2311 - TANQUE DE AÇO INOXIDÁVEL (UN)</t>
    </r>
  </si>
  <si>
    <r>
      <rPr>
        <sz val="7"/>
        <rFont val="Calibri"/>
        <family val="2"/>
      </rPr>
      <t>I0851</t>
    </r>
  </si>
  <si>
    <r>
      <rPr>
        <sz val="7"/>
        <rFont val="Calibri"/>
        <family val="2"/>
      </rPr>
      <t>CONJUNTO FIXAÇÃO P/TANQUE</t>
    </r>
  </si>
  <si>
    <r>
      <rPr>
        <sz val="7"/>
        <rFont val="Calibri"/>
        <family val="2"/>
      </rPr>
      <t>I1935</t>
    </r>
  </si>
  <si>
    <r>
      <rPr>
        <sz val="7"/>
        <rFont val="Calibri"/>
        <family val="2"/>
      </rPr>
      <t>TANQUE DE AÇO INOXIDÁVEL</t>
    </r>
  </si>
  <si>
    <r>
      <rPr>
        <sz val="7"/>
        <rFont val="Calibri"/>
        <family val="2"/>
      </rPr>
      <t>I2271</t>
    </r>
  </si>
  <si>
    <r>
      <rPr>
        <sz val="7"/>
        <rFont val="Calibri"/>
        <family val="2"/>
      </rPr>
      <t>VÁLVULA DE METAL 1 1/4"</t>
    </r>
  </si>
  <si>
    <r>
      <rPr>
        <b/>
        <sz val="8"/>
        <rFont val="Arial"/>
        <family val="2"/>
      </rPr>
      <t>16.1. 210023 - LIMPEZA FINAL DE OBRAS (M2)</t>
    </r>
  </si>
  <si>
    <r>
      <rPr>
        <sz val="7"/>
        <rFont val="Calibri"/>
        <family val="2"/>
      </rPr>
      <t>I001500</t>
    </r>
  </si>
  <si>
    <r>
      <rPr>
        <sz val="7"/>
        <rFont val="Calibri"/>
        <family val="2"/>
      </rPr>
      <t>ESTOPA COMUM EMBALAGEM 200 GRAMAS</t>
    </r>
  </si>
  <si>
    <r>
      <t>OBRA:</t>
    </r>
    <r>
      <rPr>
        <b/>
        <sz val="10"/>
        <color indexed="8"/>
        <rFont val="Arial Narrow"/>
        <family val="2"/>
      </rPr>
      <t xml:space="preserve"> CLÍNICA ODONTOLÓGICA</t>
    </r>
  </si>
  <si>
    <t>LOCAL: ITAPIPOCA/CE</t>
  </si>
  <si>
    <t xml:space="preserve">CRONOGRAMA FÍSICO-FINANCEIRO
</t>
  </si>
  <si>
    <r>
      <rPr>
        <sz val="8"/>
        <rFont val="Calibri"/>
        <family val="2"/>
      </rPr>
      <t>ITEM</t>
    </r>
  </si>
  <si>
    <r>
      <rPr>
        <sz val="8"/>
        <rFont val="Calibri"/>
        <family val="2"/>
      </rPr>
      <t>DESCRIÇÃO</t>
    </r>
  </si>
  <si>
    <r>
      <rPr>
        <sz val="8"/>
        <rFont val="Calibri"/>
        <family val="2"/>
      </rPr>
      <t>VALOR (R$)</t>
    </r>
  </si>
  <si>
    <r>
      <rPr>
        <sz val="8"/>
        <rFont val="Calibri"/>
        <family val="2"/>
      </rPr>
      <t>MÊS 1</t>
    </r>
  </si>
  <si>
    <r>
      <rPr>
        <sz val="8"/>
        <rFont val="Calibri"/>
        <family val="2"/>
      </rPr>
      <t>MÊS 2</t>
    </r>
  </si>
  <si>
    <r>
      <rPr>
        <sz val="8"/>
        <rFont val="Calibri"/>
        <family val="2"/>
      </rPr>
      <t>MÊS 3</t>
    </r>
  </si>
  <si>
    <r>
      <rPr>
        <sz val="8"/>
        <rFont val="Calibri"/>
        <family val="2"/>
      </rPr>
      <t>MÊS 4</t>
    </r>
  </si>
  <si>
    <r>
      <rPr>
        <sz val="8"/>
        <rFont val="Calibri"/>
        <family val="2"/>
      </rPr>
      <t>MÊS 5</t>
    </r>
  </si>
  <si>
    <r>
      <rPr>
        <sz val="8"/>
        <rFont val="Calibri"/>
        <family val="2"/>
      </rPr>
      <t>MÊS 6</t>
    </r>
  </si>
  <si>
    <r>
      <rPr>
        <sz val="8"/>
        <rFont val="Calibri"/>
        <family val="2"/>
      </rPr>
      <t>Total parcela</t>
    </r>
  </si>
  <si>
    <r>
      <rPr>
        <sz val="8"/>
        <rFont val="Calibri"/>
        <family val="2"/>
      </rPr>
      <t>1</t>
    </r>
  </si>
  <si>
    <r>
      <rPr>
        <sz val="8"/>
        <rFont val="Arial"/>
        <family val="2"/>
      </rPr>
      <t>SERVIÇOS PRELIMINARES</t>
    </r>
  </si>
  <si>
    <r>
      <rPr>
        <sz val="8"/>
        <rFont val="Calibri"/>
        <family val="2"/>
      </rPr>
      <t>2</t>
    </r>
  </si>
  <si>
    <r>
      <rPr>
        <sz val="8"/>
        <rFont val="Arial"/>
        <family val="2"/>
      </rPr>
      <t>MOVIMENTO DE TERRA</t>
    </r>
  </si>
  <si>
    <r>
      <rPr>
        <sz val="8"/>
        <rFont val="Calibri"/>
        <family val="2"/>
      </rPr>
      <t>3</t>
    </r>
  </si>
  <si>
    <r>
      <rPr>
        <sz val="8"/>
        <rFont val="Arial"/>
        <family val="2"/>
      </rPr>
      <t>FUNDAÇÕES E ESTRUTURAS</t>
    </r>
  </si>
  <si>
    <r>
      <rPr>
        <sz val="8"/>
        <rFont val="Calibri"/>
        <family val="2"/>
      </rPr>
      <t>4</t>
    </r>
  </si>
  <si>
    <r>
      <rPr>
        <sz val="8"/>
        <rFont val="Arial"/>
        <family val="2"/>
      </rPr>
      <t>IMPERMEABILIZAÇÃO</t>
    </r>
  </si>
  <si>
    <r>
      <rPr>
        <sz val="8"/>
        <rFont val="Calibri"/>
        <family val="2"/>
      </rPr>
      <t>5</t>
    </r>
  </si>
  <si>
    <r>
      <rPr>
        <sz val="8"/>
        <rFont val="Arial"/>
        <family val="2"/>
      </rPr>
      <t>ALVENARIA DE VEDAÇÃO</t>
    </r>
  </si>
  <si>
    <r>
      <rPr>
        <sz val="8"/>
        <rFont val="Calibri"/>
        <family val="2"/>
      </rPr>
      <t>6</t>
    </r>
  </si>
  <si>
    <r>
      <rPr>
        <sz val="8"/>
        <rFont val="Arial"/>
        <family val="2"/>
      </rPr>
      <t>ALVENARIA PARA BANCADAS</t>
    </r>
  </si>
  <si>
    <r>
      <rPr>
        <sz val="8"/>
        <rFont val="Calibri"/>
        <family val="2"/>
      </rPr>
      <t>7</t>
    </r>
  </si>
  <si>
    <r>
      <rPr>
        <sz val="8"/>
        <rFont val="Arial"/>
        <family val="2"/>
      </rPr>
      <t>ALVENARIA PARA PLATIBANDA</t>
    </r>
  </si>
  <si>
    <r>
      <rPr>
        <sz val="8"/>
        <rFont val="Calibri"/>
        <family val="2"/>
      </rPr>
      <t>8</t>
    </r>
  </si>
  <si>
    <r>
      <rPr>
        <sz val="8"/>
        <rFont val="Arial"/>
        <family val="2"/>
      </rPr>
      <t>ESQUADRIAS/CERCAS</t>
    </r>
  </si>
  <si>
    <r>
      <rPr>
        <sz val="8"/>
        <rFont val="Calibri"/>
        <family val="2"/>
      </rPr>
      <t>9</t>
    </r>
  </si>
  <si>
    <r>
      <rPr>
        <sz val="8"/>
        <rFont val="Arial"/>
        <family val="2"/>
      </rPr>
      <t>COBERTURA</t>
    </r>
  </si>
  <si>
    <r>
      <rPr>
        <sz val="8"/>
        <rFont val="Calibri"/>
        <family val="2"/>
      </rPr>
      <t>10</t>
    </r>
  </si>
  <si>
    <r>
      <rPr>
        <sz val="8"/>
        <rFont val="Arial"/>
        <family val="2"/>
      </rPr>
      <t>REVESTIMENTOS</t>
    </r>
  </si>
  <si>
    <r>
      <rPr>
        <sz val="8"/>
        <rFont val="Calibri"/>
        <family val="2"/>
      </rPr>
      <t>11</t>
    </r>
  </si>
  <si>
    <r>
      <rPr>
        <sz val="8"/>
        <rFont val="Arial"/>
        <family val="2"/>
      </rPr>
      <t>PISOS</t>
    </r>
  </si>
  <si>
    <r>
      <rPr>
        <sz val="8"/>
        <rFont val="Calibri"/>
        <family val="2"/>
      </rPr>
      <t>12</t>
    </r>
  </si>
  <si>
    <r>
      <rPr>
        <sz val="8"/>
        <rFont val="Arial"/>
        <family val="2"/>
      </rPr>
      <t>INSTALAÇÕES DE AGUA FRIA</t>
    </r>
  </si>
  <si>
    <r>
      <rPr>
        <sz val="8"/>
        <rFont val="Calibri"/>
        <family val="2"/>
      </rPr>
      <t>13</t>
    </r>
  </si>
  <si>
    <r>
      <rPr>
        <sz val="8"/>
        <rFont val="Arial"/>
        <family val="2"/>
      </rPr>
      <t>INSTALAÇÕES DE ESGOTO</t>
    </r>
  </si>
  <si>
    <r>
      <rPr>
        <sz val="8"/>
        <rFont val="Calibri"/>
        <family val="2"/>
      </rPr>
      <t>14</t>
    </r>
  </si>
  <si>
    <r>
      <rPr>
        <sz val="8"/>
        <rFont val="Arial"/>
        <family val="2"/>
      </rPr>
      <t>INSTALAÇÕES ELÉTRICAS</t>
    </r>
  </si>
  <si>
    <r>
      <rPr>
        <sz val="8"/>
        <rFont val="Calibri"/>
        <family val="2"/>
      </rPr>
      <t>15</t>
    </r>
  </si>
  <si>
    <r>
      <rPr>
        <sz val="8"/>
        <rFont val="Arial"/>
        <family val="2"/>
      </rPr>
      <t>LOUÇAS E METAIS</t>
    </r>
  </si>
  <si>
    <r>
      <rPr>
        <sz val="8"/>
        <rFont val="Calibri"/>
        <family val="2"/>
      </rPr>
      <t>16</t>
    </r>
  </si>
  <si>
    <r>
      <rPr>
        <sz val="8"/>
        <rFont val="Arial"/>
        <family val="2"/>
      </rPr>
      <t>SERVIÇOS DIVERSOS</t>
    </r>
  </si>
  <si>
    <t xml:space="preserve">PLANILHA ORÇAMENTÁRIA
</t>
  </si>
  <si>
    <t xml:space="preserve">COMPOSIÇÃO DE BDI </t>
  </si>
  <si>
    <r>
      <rPr>
        <b/>
        <sz val="10"/>
        <rFont val="Arial"/>
        <family val="2"/>
      </rPr>
      <t>COD</t>
    </r>
  </si>
  <si>
    <r>
      <rPr>
        <b/>
        <sz val="10"/>
        <rFont val="Arial"/>
        <family val="2"/>
      </rPr>
      <t>DESCRIÇÃO</t>
    </r>
  </si>
  <si>
    <r>
      <rPr>
        <b/>
        <sz val="10"/>
        <rFont val="Arial"/>
        <family val="2"/>
      </rPr>
      <t>HORA %</t>
    </r>
  </si>
  <si>
    <t>DESPESAS  INDIRETAS</t>
  </si>
  <si>
    <t>AC</t>
  </si>
  <si>
    <t>ADMINISTRAÇÃO CENTRAL</t>
  </si>
  <si>
    <t>DF</t>
  </si>
  <si>
    <t>DESPESAS FINANCEIRAS</t>
  </si>
  <si>
    <t>R</t>
  </si>
  <si>
    <t>RISCOS</t>
  </si>
  <si>
    <t>BENEFÍCIOS</t>
  </si>
  <si>
    <t>S + G</t>
  </si>
  <si>
    <t>GARANTIA/SEGUROS</t>
  </si>
  <si>
    <t>L</t>
  </si>
  <si>
    <t>LUCRO</t>
  </si>
  <si>
    <t>I</t>
  </si>
  <si>
    <t>IMPOSTOS</t>
  </si>
  <si>
    <t>PIS</t>
  </si>
  <si>
    <t>COFINS</t>
  </si>
  <si>
    <t xml:space="preserve">ISS </t>
  </si>
  <si>
    <t xml:space="preserve">CPRB </t>
  </si>
  <si>
    <t>TOTAL DOS IMPOSTOS</t>
  </si>
  <si>
    <t xml:space="preserve">BDI =   </t>
  </si>
  <si>
    <t>BDI ADOTADO</t>
  </si>
  <si>
    <r>
      <rPr>
        <b/>
        <sz val="10"/>
        <color indexed="8"/>
        <rFont val="Arial Narrow"/>
        <family val="2"/>
      </rPr>
      <t>DATA:</t>
    </r>
    <r>
      <rPr>
        <sz val="10"/>
        <color indexed="8"/>
        <rFont val="Arial Narrow"/>
        <family val="2"/>
      </rPr>
      <t xml:space="preserve"> 19/06/2019</t>
    </r>
  </si>
  <si>
    <t>CUBA DE EMBUTIR OVAL EM LOUÇA BRANCA, 35 X 50CM OU EQUIVALENTE - FORNECIMENTO E INSTALAÇÃO. AF_12/2013</t>
  </si>
  <si>
    <t>PROPRIA</t>
  </si>
  <si>
    <t>15.6. 86938 - CUBA DE EMBUTIR OVAL EM LOUÇA BRANCA, 35 X 50CM OU EQUIVALENTE, INCLUSO VÁLVULA- FORNECIMENTO E INSTALAÇÃO. AF_12/2013 (UN)</t>
  </si>
  <si>
    <t>15.7. 190771 - CUBA ACO INOXIDAVEL 0,46X0,42X022CM, INCLUSO MÃO DE OBRA PARA INSTALAÇÃO (UN)</t>
  </si>
  <si>
    <t>CUBA ACO INOXIDAVEL 0,46X0,42X022CM, INCLUSO MÃO DE OBRA PARA INSTALAÇÃO (UN)</t>
  </si>
  <si>
    <t>C1898</t>
  </si>
  <si>
    <t>CUBA DE EMBUTIR OVAL EM LOUÇA BRANCA, 35 X 50CM OU EQUIVALENTE, INCLUSO VÁLVULA- FORNECIMENTO E INSTALAÇÃO. AF_12/2013 (UN)</t>
  </si>
  <si>
    <r>
      <rPr>
        <b/>
        <i/>
        <sz val="10"/>
        <rFont val="Calibri"/>
        <family val="2"/>
      </rPr>
      <t>1.1. C1937 - PLACAS PADRÃO DE OBRA (M2)</t>
    </r>
  </si>
  <si>
    <r>
      <rPr>
        <b/>
        <sz val="7"/>
        <rFont val="Calibri"/>
        <family val="2"/>
      </rPr>
      <t>A</t>
    </r>
  </si>
  <si>
    <r>
      <rPr>
        <b/>
        <sz val="7"/>
        <rFont val="Calibri"/>
        <family val="2"/>
      </rPr>
      <t>L</t>
    </r>
  </si>
  <si>
    <r>
      <rPr>
        <b/>
        <sz val="7"/>
        <rFont val="Calibri"/>
        <family val="2"/>
      </rPr>
      <t>QTD</t>
    </r>
  </si>
  <si>
    <r>
      <rPr>
        <sz val="7"/>
        <rFont val="Calibri"/>
        <family val="2"/>
      </rPr>
      <t>ÁREA DA PLACA DA OBRA</t>
    </r>
  </si>
  <si>
    <r>
      <rPr>
        <sz val="7"/>
        <rFont val="Calibri"/>
        <family val="2"/>
      </rPr>
      <t>L*A</t>
    </r>
  </si>
  <si>
    <r>
      <rPr>
        <b/>
        <i/>
        <sz val="10"/>
        <rFont val="Calibri"/>
        <family val="2"/>
      </rPr>
      <t>1.2. 99059 - LOCACAO CONVENCIONAL DE OBRA, UTILIZANDO GABARITO DE TÁBUAS CORRIDAS PONTALETADAS A CADA 2,00M - 2 UTILIZAÇÕES. AF_10/2018 (M)</t>
    </r>
  </si>
  <si>
    <r>
      <rPr>
        <b/>
        <sz val="7"/>
        <rFont val="Calibri"/>
        <family val="2"/>
      </rPr>
      <t>Q</t>
    </r>
  </si>
  <si>
    <r>
      <rPr>
        <sz val="7"/>
        <rFont val="Calibri"/>
        <family val="2"/>
      </rPr>
      <t>LARGURA</t>
    </r>
  </si>
  <si>
    <r>
      <rPr>
        <sz val="7"/>
        <rFont val="Calibri"/>
        <family val="2"/>
      </rPr>
      <t>L*Q</t>
    </r>
  </si>
  <si>
    <r>
      <rPr>
        <sz val="7"/>
        <rFont val="Calibri"/>
        <family val="2"/>
      </rPr>
      <t>COMPRIMENTO</t>
    </r>
  </si>
  <si>
    <r>
      <rPr>
        <b/>
        <i/>
        <sz val="10"/>
        <rFont val="Calibri"/>
        <family val="2"/>
      </rPr>
      <t>1.3. 97622 - DEMOLIÇÃO DE ALVENARIA DE BLOCO FURADO, DE FORMA MANUAL, SEM REAPROVEITAMENTO. AF_12/2017 (M3)</t>
    </r>
  </si>
  <si>
    <r>
      <rPr>
        <b/>
        <sz val="7"/>
        <rFont val="Calibri"/>
        <family val="2"/>
      </rPr>
      <t>C</t>
    </r>
  </si>
  <si>
    <r>
      <rPr>
        <sz val="7"/>
        <rFont val="Calibri"/>
        <family val="2"/>
      </rPr>
      <t>VOLUME A SER DEMOLIDO</t>
    </r>
  </si>
  <si>
    <r>
      <rPr>
        <sz val="7"/>
        <rFont val="Calibri"/>
        <family val="2"/>
      </rPr>
      <t>C*L*A</t>
    </r>
  </si>
  <si>
    <r>
      <rPr>
        <b/>
        <i/>
        <sz val="10"/>
        <rFont val="Calibri"/>
        <family val="2"/>
      </rPr>
      <t>1.4. C1064 - DEMOLIÇÃO DE PISO CERÂMICO (M2)</t>
    </r>
  </si>
  <si>
    <r>
      <rPr>
        <b/>
        <sz val="7"/>
        <rFont val="Calibri"/>
        <family val="2"/>
      </rPr>
      <t>ÁREA</t>
    </r>
  </si>
  <si>
    <r>
      <rPr>
        <sz val="7"/>
        <rFont val="Calibri"/>
        <family val="2"/>
      </rPr>
      <t xml:space="preserve">ÁREA A DEMOLIR DE ACORDO COM PROJETO </t>
    </r>
  </si>
  <si>
    <r>
      <rPr>
        <sz val="7"/>
        <rFont val="Calibri"/>
        <family val="2"/>
      </rPr>
      <t>ÁREA</t>
    </r>
  </si>
  <si>
    <r>
      <rPr>
        <b/>
        <i/>
        <sz val="10"/>
        <rFont val="Calibri"/>
        <family val="2"/>
      </rPr>
      <t>2.1. 93358 - ESCAVAÇÃO MANUAL DE VALA COM PROFUNDIDADE MENOR OU IGUAL A 1,30 M. AF_03/2016 (M3)</t>
    </r>
  </si>
  <si>
    <r>
      <rPr>
        <sz val="7"/>
        <rFont val="Calibri"/>
        <family val="2"/>
      </rPr>
      <t>SAPATAS 60X80</t>
    </r>
  </si>
  <si>
    <r>
      <rPr>
        <sz val="7"/>
        <rFont val="Calibri"/>
        <family val="2"/>
      </rPr>
      <t>L*C*Q</t>
    </r>
  </si>
  <si>
    <r>
      <rPr>
        <sz val="7"/>
        <rFont val="Calibri"/>
        <family val="2"/>
      </rPr>
      <t>SAPATAS 80X80</t>
    </r>
  </si>
  <si>
    <r>
      <rPr>
        <b/>
        <i/>
        <sz val="10"/>
        <rFont val="Calibri"/>
        <family val="2"/>
      </rPr>
      <t>2.2. C0096 - REATERRO APILOADO (M3)</t>
    </r>
  </si>
  <si>
    <r>
      <rPr>
        <sz val="7"/>
        <rFont val="Calibri"/>
        <family val="2"/>
      </rPr>
      <t>ATERRO SAPATAS 60X80</t>
    </r>
  </si>
  <si>
    <r>
      <rPr>
        <sz val="7"/>
        <rFont val="Calibri"/>
        <family val="2"/>
      </rPr>
      <t>L*C*A*Q</t>
    </r>
  </si>
  <si>
    <r>
      <rPr>
        <sz val="7"/>
        <rFont val="Calibri"/>
        <family val="2"/>
      </rPr>
      <t>ATERRO SAPATAS 80X80</t>
    </r>
  </si>
  <si>
    <r>
      <rPr>
        <b/>
        <i/>
        <sz val="10"/>
        <rFont val="Calibri"/>
        <family val="2"/>
      </rPr>
      <t>2.3. C0095 - APILOAMENTO DE PISO OU FUNDO DE VALAS C/MAÇO DE 30 A 60 KG (M2)</t>
    </r>
  </si>
  <si>
    <r>
      <rPr>
        <sz val="7"/>
        <rFont val="Calibri"/>
        <family val="2"/>
      </rPr>
      <t>COMPACTAÇÃO ANTES DO CONTRAPISO</t>
    </r>
  </si>
  <si>
    <r>
      <rPr>
        <sz val="7"/>
        <rFont val="Calibri"/>
        <family val="2"/>
      </rPr>
      <t>169,70</t>
    </r>
  </si>
  <si>
    <r>
      <rPr>
        <b/>
        <i/>
        <sz val="10"/>
        <rFont val="Calibri"/>
        <family val="2"/>
      </rPr>
      <t>2.4. C0331 - ATERRO C/COMPACTAÇÃO MANUAL S/CONTROLE, MAT. PRODUZIDO (S/TRANSP.) (M3)</t>
    </r>
  </si>
  <si>
    <r>
      <rPr>
        <b/>
        <sz val="7"/>
        <rFont val="Calibri"/>
        <family val="2"/>
      </rPr>
      <t>ALTURA</t>
    </r>
  </si>
  <si>
    <r>
      <rPr>
        <b/>
        <sz val="7"/>
        <rFont val="Calibri"/>
        <family val="2"/>
      </rPr>
      <t>AREA</t>
    </r>
  </si>
  <si>
    <r>
      <rPr>
        <sz val="7"/>
        <rFont val="Calibri"/>
        <family val="2"/>
      </rPr>
      <t>ATERRO DE 20 CM</t>
    </r>
  </si>
  <si>
    <r>
      <rPr>
        <sz val="7"/>
        <rFont val="Calibri"/>
        <family val="2"/>
      </rPr>
      <t>AREA*ALTURA</t>
    </r>
  </si>
  <si>
    <r>
      <rPr>
        <b/>
        <i/>
        <sz val="10"/>
        <rFont val="Calibri"/>
        <family val="2"/>
      </rPr>
      <t>3.1. C0056 - ALVENARIA DE EMBASAMENTO DE TIJOLO FURADO, C/ ARGAMASSA MISTA C/ CAL HIDRATADA (1:2:8) (M3)</t>
    </r>
  </si>
  <si>
    <r>
      <rPr>
        <sz val="7"/>
        <rFont val="Calibri"/>
        <family val="2"/>
      </rPr>
      <t xml:space="preserve">Comprimento Total </t>
    </r>
  </si>
  <si>
    <r>
      <rPr>
        <b/>
        <i/>
        <sz val="10"/>
        <rFont val="Calibri"/>
        <family val="2"/>
      </rPr>
      <t>3.3. 92413 - MONTAGEM E DESMONTAGEM DE FÔRMA DE PILARES RETANGULARES E ESTRUTURAS SIMILARES COM ÁREA MÉDIA DAS SEÇÕES MAIOR QUE 0,25 M², PÉ-DIREITO SIMPLES, EM MADEIRA SERRADA, 4 UTILIZAÇÕES. AF_12/2015 (M2)</t>
    </r>
  </si>
  <si>
    <r>
      <rPr>
        <sz val="7"/>
        <rFont val="Calibri"/>
        <family val="2"/>
      </rPr>
      <t>PILARES</t>
    </r>
  </si>
  <si>
    <r>
      <rPr>
        <sz val="7"/>
        <rFont val="Calibri"/>
        <family val="2"/>
      </rPr>
      <t>A*L*Q</t>
    </r>
  </si>
  <si>
    <r>
      <rPr>
        <sz val="7"/>
        <rFont val="Calibri"/>
        <family val="2"/>
      </rPr>
      <t>VIGAS</t>
    </r>
  </si>
  <si>
    <r>
      <rPr>
        <b/>
        <i/>
        <sz val="10"/>
        <rFont val="Calibri"/>
        <family val="2"/>
      </rPr>
      <t>3.4. 030451 - LASTRO DE CONCRETO INCLUSIVE PREPARO/LANCAMENTO (M3)</t>
    </r>
  </si>
  <si>
    <r>
      <rPr>
        <b/>
        <sz val="7"/>
        <rFont val="Calibri"/>
        <family val="2"/>
      </rPr>
      <t>Compriment</t>
    </r>
  </si>
  <si>
    <r>
      <rPr>
        <b/>
        <sz val="7"/>
        <rFont val="Calibri"/>
        <family val="2"/>
      </rPr>
      <t>Largura</t>
    </r>
  </si>
  <si>
    <r>
      <rPr>
        <b/>
        <sz val="7"/>
        <rFont val="Calibri"/>
        <family val="2"/>
      </rPr>
      <t>Quantidade</t>
    </r>
  </si>
  <si>
    <r>
      <rPr>
        <sz val="7"/>
        <rFont val="Calibri"/>
        <family val="2"/>
      </rPr>
      <t>Sapatas 80x80</t>
    </r>
  </si>
  <si>
    <r>
      <rPr>
        <sz val="7"/>
        <rFont val="Calibri"/>
        <family val="2"/>
      </rPr>
      <t>Largura*Comprimento*Quantidade</t>
    </r>
  </si>
  <si>
    <r>
      <rPr>
        <b/>
        <i/>
        <sz val="10"/>
        <rFont val="Calibri"/>
        <family val="2"/>
      </rPr>
      <t>3.5. 94966 - CONCRETO FCK = 30MPA, TRAÇO 1:2,1:2,5 (CIMENTO/ AREIA MÉDIA/ BRITA 1) - PREPARO MECÂNICO COM BETONEIRA 400 L. AF_07/2016 (M3)</t>
    </r>
  </si>
  <si>
    <r>
      <rPr>
        <b/>
        <sz val="7"/>
        <rFont val="Calibri"/>
        <family val="2"/>
      </rPr>
      <t>Altura</t>
    </r>
  </si>
  <si>
    <r>
      <rPr>
        <sz val="7"/>
        <rFont val="Calibri"/>
        <family val="2"/>
      </rPr>
      <t>VIGAS INFERIORES</t>
    </r>
  </si>
  <si>
    <r>
      <rPr>
        <sz val="7"/>
        <rFont val="Calibri"/>
        <family val="2"/>
      </rPr>
      <t>Comprimento*Largura*Altura</t>
    </r>
  </si>
  <si>
    <r>
      <rPr>
        <sz val="7"/>
        <rFont val="Calibri"/>
        <family val="2"/>
      </rPr>
      <t>VIGAS SUPERIORES</t>
    </r>
  </si>
  <si>
    <r>
      <rPr>
        <sz val="7"/>
        <rFont val="Calibri"/>
        <family val="2"/>
      </rPr>
      <t>PILARES 3M DE ALTURA</t>
    </r>
  </si>
  <si>
    <r>
      <rPr>
        <sz val="7"/>
        <rFont val="Calibri"/>
        <family val="2"/>
      </rPr>
      <t>Comprimento*Largura*Altura*Quantidade</t>
    </r>
  </si>
  <si>
    <r>
      <rPr>
        <sz val="7"/>
        <rFont val="Calibri"/>
        <family val="2"/>
      </rPr>
      <t>PILARES 5 METROS DE ALTURA</t>
    </r>
  </si>
  <si>
    <r>
      <rPr>
        <b/>
        <i/>
        <sz val="10"/>
        <rFont val="Calibri"/>
        <family val="2"/>
      </rPr>
      <t>3.9. 93182 - VERGA PRÉ-MOLDADA PARA JANELAS COM ATÉ 1,5 M DE VÃO. AF_03/2016 (M)</t>
    </r>
  </si>
  <si>
    <r>
      <rPr>
        <b/>
        <sz val="7"/>
        <rFont val="Calibri"/>
        <family val="2"/>
      </rPr>
      <t>FOLGA</t>
    </r>
  </si>
  <si>
    <r>
      <rPr>
        <b/>
        <sz val="7"/>
        <rFont val="Calibri"/>
        <family val="2"/>
      </rPr>
      <t>LARGURA</t>
    </r>
  </si>
  <si>
    <r>
      <rPr>
        <sz val="7"/>
        <rFont val="Calibri"/>
        <family val="2"/>
      </rPr>
      <t>J1</t>
    </r>
  </si>
  <si>
    <r>
      <rPr>
        <sz val="7"/>
        <rFont val="Calibri"/>
        <family val="2"/>
      </rPr>
      <t>(LARGURA+FOLGA)*Q</t>
    </r>
  </si>
  <si>
    <r>
      <rPr>
        <sz val="7"/>
        <rFont val="Calibri"/>
        <family val="2"/>
      </rPr>
      <t>J2</t>
    </r>
  </si>
  <si>
    <r>
      <rPr>
        <sz val="7"/>
        <rFont val="Calibri"/>
        <family val="2"/>
      </rPr>
      <t>J3</t>
    </r>
  </si>
  <si>
    <r>
      <rPr>
        <sz val="7"/>
        <rFont val="Calibri"/>
        <family val="2"/>
      </rPr>
      <t>J4</t>
    </r>
  </si>
  <si>
    <r>
      <rPr>
        <sz val="7"/>
        <rFont val="Calibri"/>
        <family val="2"/>
      </rPr>
      <t>J5</t>
    </r>
  </si>
  <si>
    <r>
      <rPr>
        <b/>
        <i/>
        <sz val="10"/>
        <rFont val="Calibri"/>
        <family val="2"/>
      </rPr>
      <t>3.10. 93194 - CONTRAVERGA PRÉ-MOLDADA PARA VÃOS DE ATÉ 1,5 M DE COMPRIMENTO. AF_03/2016 (M)</t>
    </r>
  </si>
  <si>
    <r>
      <rPr>
        <sz val="7"/>
        <rFont val="Calibri"/>
        <family val="2"/>
      </rPr>
      <t>P1</t>
    </r>
  </si>
  <si>
    <r>
      <rPr>
        <sz val="7"/>
        <rFont val="Calibri"/>
        <family val="2"/>
      </rPr>
      <t>P2</t>
    </r>
  </si>
  <si>
    <r>
      <rPr>
        <sz val="7"/>
        <rFont val="Calibri"/>
        <family val="2"/>
      </rPr>
      <t>P3</t>
    </r>
  </si>
  <si>
    <r>
      <rPr>
        <sz val="7"/>
        <rFont val="Calibri"/>
        <family val="2"/>
      </rPr>
      <t>P4</t>
    </r>
  </si>
  <si>
    <r>
      <rPr>
        <sz val="7"/>
        <rFont val="Calibri"/>
        <family val="2"/>
      </rPr>
      <t>P5</t>
    </r>
  </si>
  <si>
    <r>
      <rPr>
        <sz val="7"/>
        <rFont val="Calibri"/>
        <family val="2"/>
      </rPr>
      <t>P6</t>
    </r>
  </si>
  <si>
    <r>
      <rPr>
        <b/>
        <i/>
        <sz val="10"/>
        <rFont val="Calibri"/>
        <family val="2"/>
      </rPr>
      <t>3.11. 93185 - VERGA PRÉ-MOLDADA PARA PORTAS COM MAIS DE 1,5 M DE VÃO. AF_03/2016 (M)</t>
    </r>
  </si>
  <si>
    <r>
      <rPr>
        <sz val="7"/>
        <rFont val="Calibri"/>
        <family val="2"/>
      </rPr>
      <t>P7</t>
    </r>
  </si>
  <si>
    <r>
      <rPr>
        <b/>
        <i/>
        <sz val="10"/>
        <rFont val="Calibri"/>
        <family val="2"/>
      </rPr>
      <t>3.12. 93182 - VERGA PRÉ-MOLDADA PARA JANELAS COM ATÉ 1,5 M DE VÃO. AF_03/2016 (M)</t>
    </r>
  </si>
  <si>
    <r>
      <rPr>
        <b/>
        <i/>
        <sz val="10"/>
        <rFont val="Calibri"/>
        <family val="2"/>
      </rPr>
      <t>4.1. 74106/001 - IMPERMEABILIZACAO DE ESTRUTURAS ENTERRADAS, COM TINTA ASFALTICA, DUAS DEMAOS. (M2)</t>
    </r>
  </si>
  <si>
    <r>
      <rPr>
        <b/>
        <sz val="7"/>
        <rFont val="Calibri"/>
        <family val="2"/>
      </rPr>
      <t>A1</t>
    </r>
  </si>
  <si>
    <r>
      <rPr>
        <b/>
        <sz val="7"/>
        <rFont val="Calibri"/>
        <family val="2"/>
      </rPr>
      <t>A2</t>
    </r>
  </si>
  <si>
    <r>
      <rPr>
        <sz val="7"/>
        <rFont val="Calibri"/>
        <family val="2"/>
      </rPr>
      <t>VIGAS BALDRAME</t>
    </r>
  </si>
  <si>
    <r>
      <rPr>
        <sz val="7"/>
        <rFont val="Calibri"/>
        <family val="2"/>
      </rPr>
      <t>(A1+A2+L)*C</t>
    </r>
  </si>
  <si>
    <r>
      <rPr>
        <b/>
        <i/>
        <sz val="10"/>
        <rFont val="Calibri"/>
        <family val="2"/>
      </rPr>
      <t>4.2. 00004015 - MANTA ASFALTICA ELASTOMERICA EM POLIESTER 4 MM, TIPO III, CLASSE B, ACABAMENTO PP (NBR 9952) (M2)</t>
    </r>
  </si>
  <si>
    <r>
      <rPr>
        <sz val="7"/>
        <rFont val="Calibri"/>
        <family val="2"/>
      </rPr>
      <t xml:space="preserve">PISO CAIXA D'AGUA </t>
    </r>
  </si>
  <si>
    <r>
      <rPr>
        <sz val="7"/>
        <rFont val="Calibri"/>
        <family val="2"/>
      </rPr>
      <t>L*C</t>
    </r>
  </si>
  <si>
    <r>
      <rPr>
        <sz val="7"/>
        <rFont val="Calibri"/>
        <family val="2"/>
      </rPr>
      <t>PAREDE CAIXA D'AGUA</t>
    </r>
  </si>
  <si>
    <r>
      <rPr>
        <b/>
        <i/>
        <sz val="10"/>
        <rFont val="Calibri"/>
        <family val="2"/>
      </rPr>
      <t>5.1. 87505 - ALVENARIA DE VEDAÇÃO DE BLOCOS CERÂMICOS FURADOS NA HORIZONTAL DE 11,5X19X19CM (ESPESSURA 11,5M) DE PAREDES COM ÁREA LÍQUIDA MAIOR OU IGUAL A 6M² SEM VÃOS E ARGAMASSA DE ASSENTAMENTO COM PREPARO EM BETONEIRA. AF_06/2014 (M2)</t>
    </r>
  </si>
  <si>
    <r>
      <rPr>
        <sz val="7"/>
        <rFont val="Calibri"/>
        <family val="2"/>
      </rPr>
      <t>ALVENARIA INTERNA</t>
    </r>
  </si>
  <si>
    <r>
      <rPr>
        <sz val="7"/>
        <rFont val="Calibri"/>
        <family val="2"/>
      </rPr>
      <t>LARGURA*ALTURA</t>
    </r>
  </si>
  <si>
    <r>
      <rPr>
        <b/>
        <i/>
        <sz val="10"/>
        <rFont val="Calibri"/>
        <family val="2"/>
      </rPr>
      <t>6.1. 87505 - ALVENARIA DE VEDAÇÃO DE BLOCOS CERÂMICOS FURADOS NA HORIZONTAL DE 11,5X19X19CM (ESPESSURA 11,5M) DE PAREDES COM ÁREA LÍQUIDA MAIOR OU IGUAL A 6M² SEM VÃOS E ARGAMASSA DE ASSENTAMENTO COM PREPARO EM BETONEIRA. AF_06/2014 (M2)</t>
    </r>
  </si>
  <si>
    <r>
      <rPr>
        <sz val="7"/>
        <rFont val="Calibri"/>
        <family val="2"/>
      </rPr>
      <t>BANCADA RECEPÇÃO</t>
    </r>
  </si>
  <si>
    <r>
      <rPr>
        <b/>
        <i/>
        <sz val="10"/>
        <rFont val="Calibri"/>
        <family val="2"/>
      </rPr>
      <t>7.1. 87505 - ALVENARIA DE VEDAÇÃO DE BLOCOS CERÂMICOS FURADOS NA HORIZONTAL DE 11,5X19X19CM (ESPESSURA 11,5M) DE PAREDES COM ÁREA LÍQUIDA MAIOR OU IGUAL A 6M² SEM VÃOS E ARGAMASSA DE ASSENTAMENTO COM PREPARO EM BETONEIRA. AF_06/2014 (M2)</t>
    </r>
  </si>
  <si>
    <r>
      <rPr>
        <sz val="7"/>
        <rFont val="Calibri"/>
        <family val="2"/>
      </rPr>
      <t>CAIXA D'AGUA</t>
    </r>
  </si>
  <si>
    <r>
      <rPr>
        <sz val="7"/>
        <rFont val="Calibri"/>
        <family val="2"/>
      </rPr>
      <t>PLATIBANDA</t>
    </r>
  </si>
  <si>
    <r>
      <rPr>
        <b/>
        <i/>
        <sz val="10"/>
        <rFont val="Calibri"/>
        <family val="2"/>
      </rPr>
      <t>8.5. 150190 - PORTA EM VIDRO LAMINADO INCOLOR 10mm COM FERRAGENS (M2)</t>
    </r>
  </si>
  <si>
    <r>
      <rPr>
        <sz val="7"/>
        <rFont val="Calibri"/>
        <family val="2"/>
      </rPr>
      <t>PORTA EM VIDRO 1</t>
    </r>
  </si>
  <si>
    <r>
      <rPr>
        <sz val="7"/>
        <rFont val="Calibri"/>
        <family val="2"/>
      </rPr>
      <t>PORTA EM VIDRO 2</t>
    </r>
  </si>
  <si>
    <r>
      <rPr>
        <b/>
        <i/>
        <sz val="10"/>
        <rFont val="Calibri"/>
        <family val="2"/>
      </rPr>
      <t>8.6. C3733 - PORTÃO DE ALUMÍNIO ANODIZADO NATURAL, FECHAMENTO TOTAL C/ LAMBRI BOLA E CORREDIÇO (FORNECIMENTO E MONTAGEM) (M2)</t>
    </r>
  </si>
  <si>
    <r>
      <rPr>
        <sz val="7"/>
        <rFont val="Calibri"/>
        <family val="2"/>
      </rPr>
      <t>PORTÃO 1,20 X 0,80</t>
    </r>
  </si>
  <si>
    <r>
      <rPr>
        <sz val="7"/>
        <rFont val="Calibri"/>
        <family val="2"/>
      </rPr>
      <t>PORTÃO 2,80 X 2,40</t>
    </r>
  </si>
  <si>
    <r>
      <rPr>
        <sz val="7"/>
        <rFont val="Calibri"/>
        <family val="2"/>
      </rPr>
      <t>PORTÃO 2,50 X 2,40</t>
    </r>
  </si>
  <si>
    <r>
      <rPr>
        <b/>
        <i/>
        <sz val="10"/>
        <rFont val="Calibri"/>
        <family val="2"/>
      </rPr>
      <t>8.7. I087322 - JANELA MAXIM AIR ALUMINIO C-28 NATURAL VIDRO 6mm (M2)</t>
    </r>
  </si>
  <si>
    <r>
      <rPr>
        <sz val="7"/>
        <rFont val="Calibri"/>
        <family val="2"/>
      </rPr>
      <t>JANELA 0,50 X 0,50</t>
    </r>
  </si>
  <si>
    <r>
      <rPr>
        <sz val="7"/>
        <rFont val="Calibri"/>
        <family val="2"/>
      </rPr>
      <t>L*A*Q</t>
    </r>
  </si>
  <si>
    <r>
      <rPr>
        <sz val="7"/>
        <rFont val="Calibri"/>
        <family val="2"/>
      </rPr>
      <t>JANELA 1,00 X 0,50</t>
    </r>
  </si>
  <si>
    <r>
      <rPr>
        <sz val="7"/>
        <rFont val="Calibri"/>
        <family val="2"/>
      </rPr>
      <t>JANELA 0,50 X 2,10</t>
    </r>
  </si>
  <si>
    <r>
      <rPr>
        <sz val="7"/>
        <rFont val="Calibri"/>
        <family val="2"/>
      </rPr>
      <t>JANELA 1,50 X 0,40</t>
    </r>
  </si>
  <si>
    <r>
      <rPr>
        <sz val="7"/>
        <rFont val="Calibri"/>
        <family val="2"/>
      </rPr>
      <t>JANELA 0,60 X 1,20</t>
    </r>
  </si>
  <si>
    <r>
      <rPr>
        <b/>
        <i/>
        <sz val="10"/>
        <rFont val="Calibri"/>
        <family val="2"/>
      </rPr>
      <t>8.8. C0805 - COBOGÓ DE CIMENTO TIPO DIAMANTE (M2)</t>
    </r>
  </si>
  <si>
    <r>
      <rPr>
        <sz val="7"/>
        <rFont val="Calibri"/>
        <family val="2"/>
      </rPr>
      <t>COBOGÓ 20X20</t>
    </r>
  </si>
  <si>
    <r>
      <rPr>
        <sz val="7"/>
        <rFont val="Calibri"/>
        <family val="2"/>
      </rPr>
      <t>LINHAS 14 X 7CM</t>
    </r>
  </si>
  <si>
    <r>
      <rPr>
        <sz val="7"/>
        <rFont val="Calibri"/>
        <family val="2"/>
      </rPr>
      <t>A*Q</t>
    </r>
  </si>
  <si>
    <r>
      <rPr>
        <b/>
        <i/>
        <sz val="10"/>
        <rFont val="Calibri"/>
        <family val="2"/>
      </rPr>
      <t>9.5. 6082 - PINTURA EM VERNIZ SINTETICO BRILHANTE EM MADEIRA, TRES DEMAOS (M2)</t>
    </r>
  </si>
  <si>
    <r>
      <rPr>
        <b/>
        <sz val="7"/>
        <rFont val="Calibri"/>
        <family val="2"/>
      </rPr>
      <t>Q1</t>
    </r>
  </si>
  <si>
    <r>
      <rPr>
        <b/>
        <sz val="7"/>
        <rFont val="Calibri"/>
        <family val="2"/>
      </rPr>
      <t>Q2</t>
    </r>
  </si>
  <si>
    <r>
      <rPr>
        <sz val="7"/>
        <rFont val="Calibri"/>
        <family val="2"/>
      </rPr>
      <t>PINTURA PERGOLADOS</t>
    </r>
  </si>
  <si>
    <r>
      <rPr>
        <sz val="7"/>
        <rFont val="Calibri"/>
        <family val="2"/>
      </rPr>
      <t>ÁREA*Q1*Q2</t>
    </r>
  </si>
  <si>
    <r>
      <rPr>
        <b/>
        <i/>
        <sz val="10"/>
        <rFont val="Calibri"/>
        <family val="2"/>
      </rPr>
      <t>10.1. 87879 - CHAPISCO APLICADO EM ALVENARIAS E ESTRUTURAS DE CONCRETO INTERNAS, COM COLHER DE PEDREIRO. ARGAMASSA TRAÇO 1:3 COM PREPARO EM BETONEIRA 400L. AF_06/2014 (M2)</t>
    </r>
  </si>
  <si>
    <r>
      <rPr>
        <sz val="7"/>
        <rFont val="Calibri"/>
        <family val="2"/>
      </rPr>
      <t>INTERNO</t>
    </r>
  </si>
  <si>
    <r>
      <rPr>
        <sz val="7"/>
        <rFont val="Calibri"/>
        <family val="2"/>
      </rPr>
      <t>C*A*Q</t>
    </r>
  </si>
  <si>
    <r>
      <rPr>
        <sz val="7"/>
        <rFont val="Calibri"/>
        <family val="2"/>
      </rPr>
      <t>Externo</t>
    </r>
  </si>
  <si>
    <r>
      <rPr>
        <sz val="7"/>
        <rFont val="Calibri"/>
        <family val="2"/>
      </rPr>
      <t>Muro</t>
    </r>
  </si>
  <si>
    <r>
      <rPr>
        <sz val="7"/>
        <rFont val="Calibri"/>
        <family val="2"/>
      </rPr>
      <t>Platibanda</t>
    </r>
  </si>
  <si>
    <r>
      <rPr>
        <sz val="7"/>
        <rFont val="Calibri"/>
        <family val="2"/>
      </rPr>
      <t>Caixa D'agua</t>
    </r>
  </si>
  <si>
    <r>
      <rPr>
        <b/>
        <i/>
        <sz val="10"/>
        <rFont val="Calibri"/>
        <family val="2"/>
      </rPr>
      <t>10.3. C0778 - CHAPISCO C/ ARGAMASSA DE CIMENTO E AREIA S/ PENEIRAR TRAÇO 1:3 ESP=5 mm P/ TETO (M2)</t>
    </r>
  </si>
  <si>
    <r>
      <rPr>
        <sz val="7"/>
        <rFont val="Calibri"/>
        <family val="2"/>
      </rPr>
      <t>RECEPÇÃO</t>
    </r>
  </si>
  <si>
    <r>
      <rPr>
        <sz val="7"/>
        <rFont val="Calibri"/>
        <family val="2"/>
      </rPr>
      <t>A</t>
    </r>
  </si>
  <si>
    <r>
      <rPr>
        <sz val="7"/>
        <rFont val="Calibri"/>
        <family val="2"/>
      </rPr>
      <t>GARAGEM</t>
    </r>
  </si>
  <si>
    <r>
      <rPr>
        <sz val="7"/>
        <rFont val="Calibri"/>
        <family val="2"/>
      </rPr>
      <t>CONSULTORIO 1</t>
    </r>
  </si>
  <si>
    <r>
      <rPr>
        <sz val="7"/>
        <rFont val="Calibri"/>
        <family val="2"/>
      </rPr>
      <t>CONSULTÓRIO 2</t>
    </r>
  </si>
  <si>
    <r>
      <rPr>
        <sz val="7"/>
        <rFont val="Calibri"/>
        <family val="2"/>
      </rPr>
      <t>WC 1</t>
    </r>
  </si>
  <si>
    <r>
      <rPr>
        <sz val="7"/>
        <rFont val="Calibri"/>
        <family val="2"/>
      </rPr>
      <t>WC 2</t>
    </r>
  </si>
  <si>
    <r>
      <rPr>
        <sz val="7"/>
        <rFont val="Calibri"/>
        <family val="2"/>
      </rPr>
      <t>CIRCULAÇÃO</t>
    </r>
  </si>
  <si>
    <r>
      <rPr>
        <sz val="7"/>
        <rFont val="Calibri"/>
        <family val="2"/>
      </rPr>
      <t>DML</t>
    </r>
  </si>
  <si>
    <r>
      <rPr>
        <sz val="7"/>
        <rFont val="Calibri"/>
        <family val="2"/>
      </rPr>
      <t>COPA</t>
    </r>
  </si>
  <si>
    <r>
      <rPr>
        <sz val="7"/>
        <rFont val="Calibri"/>
        <family val="2"/>
      </rPr>
      <t>ADM</t>
    </r>
  </si>
  <si>
    <r>
      <rPr>
        <sz val="7"/>
        <rFont val="Calibri"/>
        <family val="2"/>
      </rPr>
      <t>CONSULT. ODONT.</t>
    </r>
  </si>
  <si>
    <r>
      <rPr>
        <sz val="7"/>
        <rFont val="Calibri"/>
        <family val="2"/>
      </rPr>
      <t>ESTERILIZAÇÃO</t>
    </r>
  </si>
  <si>
    <r>
      <rPr>
        <sz val="7"/>
        <rFont val="Calibri"/>
        <family val="2"/>
      </rPr>
      <t>LAVABO COPA</t>
    </r>
  </si>
  <si>
    <r>
      <rPr>
        <sz val="7"/>
        <rFont val="Calibri"/>
        <family val="2"/>
      </rPr>
      <t>LAVABO CONSULT.</t>
    </r>
  </si>
  <si>
    <r>
      <rPr>
        <sz val="7"/>
        <rFont val="Calibri"/>
        <family val="2"/>
      </rPr>
      <t>COMPRESSOR</t>
    </r>
  </si>
  <si>
    <r>
      <rPr>
        <b/>
        <i/>
        <sz val="10"/>
        <rFont val="Calibri"/>
        <family val="2"/>
      </rPr>
      <t>10.4. C1217 - EMBOÇO C/ ARGAMASSA MISTA CIMENTO, CAL HIDRATADA E AREIA S/ PENEIRAR TRAÇO 1:2:11 ESP=20 mm P/ TETO (M2)</t>
    </r>
  </si>
  <si>
    <r>
      <rPr>
        <sz val="7"/>
        <rFont val="Calibri"/>
        <family val="2"/>
      </rPr>
      <t>MESMA ÁREA DO CHAPISCO</t>
    </r>
  </si>
  <si>
    <r>
      <rPr>
        <b/>
        <i/>
        <sz val="10"/>
        <rFont val="Calibri"/>
        <family val="2"/>
      </rPr>
      <t>10.5. 170453 - PORCELANATO 63X63 TRAVERTINO ROMANO BEIGE BIANCOGRES (M2)</t>
    </r>
  </si>
  <si>
    <r>
      <rPr>
        <sz val="7"/>
        <rFont val="Calibri"/>
        <family val="2"/>
      </rPr>
      <t>QUANTIDADE PELO COMPRIMENTO LINEAR</t>
    </r>
  </si>
  <si>
    <r>
      <rPr>
        <sz val="7"/>
        <rFont val="Calibri"/>
        <family val="2"/>
      </rPr>
      <t>C*A</t>
    </r>
  </si>
  <si>
    <r>
      <rPr>
        <b/>
        <i/>
        <sz val="10"/>
        <rFont val="Calibri"/>
        <family val="2"/>
      </rPr>
      <t>10.6. I040180 - PORCELANATO 80x80cm PORTINARI BIANCO DELICATO POLIDO (M2)</t>
    </r>
  </si>
  <si>
    <r>
      <rPr>
        <sz val="7"/>
        <rFont val="Calibri"/>
        <family val="2"/>
      </rPr>
      <t>PORCELANATO DA FACHADA</t>
    </r>
  </si>
  <si>
    <r>
      <rPr>
        <b/>
        <i/>
        <sz val="10"/>
        <rFont val="Calibri"/>
        <family val="2"/>
      </rPr>
      <t>10.7. 180017 - PINTURA PVA SUVINIL EM PAREDES COM APLICACAO MASSA CORRIDA (M2)</t>
    </r>
  </si>
  <si>
    <r>
      <rPr>
        <b/>
        <sz val="7"/>
        <rFont val="Calibri"/>
        <family val="2"/>
      </rPr>
      <t>PORCELANA</t>
    </r>
  </si>
  <si>
    <r>
      <rPr>
        <b/>
        <sz val="7"/>
        <rFont val="Calibri"/>
        <family val="2"/>
      </rPr>
      <t>TOTAL</t>
    </r>
  </si>
  <si>
    <r>
      <rPr>
        <sz val="7"/>
        <rFont val="Calibri"/>
        <family val="2"/>
      </rPr>
      <t xml:space="preserve">TOTAL - PORCELANATO = </t>
    </r>
  </si>
  <si>
    <r>
      <rPr>
        <sz val="7"/>
        <rFont val="Calibri"/>
        <family val="2"/>
      </rPr>
      <t>TOTAL-PORCELANATO</t>
    </r>
  </si>
  <si>
    <r>
      <rPr>
        <b/>
        <i/>
        <sz val="10"/>
        <rFont val="Calibri"/>
        <family val="2"/>
      </rPr>
      <t>10.9. C1869 - PEITORIL DE GRANITO L= 15 cm (M)</t>
    </r>
  </si>
  <si>
    <r>
      <rPr>
        <sz val="7"/>
        <rFont val="Calibri"/>
        <family val="2"/>
      </rPr>
      <t>LARGURA*Q</t>
    </r>
  </si>
  <si>
    <r>
      <rPr>
        <b/>
        <i/>
        <sz val="10"/>
        <rFont val="Calibri"/>
        <family val="2"/>
      </rPr>
      <t>10.10. C2284 - SOLEIRA DE GRANITO L= 15cm (M)</t>
    </r>
  </si>
  <si>
    <r>
      <rPr>
        <sz val="7"/>
        <rFont val="Calibri"/>
        <family val="2"/>
      </rPr>
      <t>Q*C</t>
    </r>
  </si>
  <si>
    <r>
      <rPr>
        <b/>
        <i/>
        <sz val="10"/>
        <rFont val="Calibri"/>
        <family val="2"/>
      </rPr>
      <t>10.11. 121100 - RESSALTES EM ARGAMASSA PARA MOLDURA DE ESQUADRIAS (M2)</t>
    </r>
  </si>
  <si>
    <r>
      <rPr>
        <sz val="7"/>
        <rFont val="Calibri"/>
        <family val="2"/>
      </rPr>
      <t>C*L*Q</t>
    </r>
  </si>
  <si>
    <r>
      <rPr>
        <b/>
        <i/>
        <sz val="10"/>
        <rFont val="Calibri"/>
        <family val="2"/>
      </rPr>
      <t>11.3. 92402 - EXECUÇÃO DE PASSEIO EM PISO INTERTRAVADO, COM BLOCO 16 FACES DE 22 X 11 CM, ESPESSURA 6 CM. AF_12/2015 (M2)</t>
    </r>
  </si>
  <si>
    <r>
      <rPr>
        <sz val="7"/>
        <rFont val="Calibri"/>
        <family val="2"/>
      </rPr>
      <t>ENTRADA PRIVATIVA</t>
    </r>
  </si>
  <si>
    <r>
      <rPr>
        <sz val="7"/>
        <rFont val="Calibri"/>
        <family val="2"/>
      </rPr>
      <t>CALÇADA E GARAGEM EXTERNA</t>
    </r>
  </si>
  <si>
    <r>
      <rPr>
        <b/>
        <i/>
        <sz val="10"/>
        <rFont val="Calibri"/>
        <family val="2"/>
      </rPr>
      <t>11.4. 170408 - PORCELANATO 80X80 ADHARA ELIANE (M2)</t>
    </r>
  </si>
  <si>
    <r>
      <rPr>
        <sz val="7"/>
        <rFont val="Calibri"/>
        <family val="2"/>
      </rPr>
      <t>ÁREA COM PORCELANATO</t>
    </r>
  </si>
  <si>
    <r>
      <rPr>
        <b/>
        <i/>
        <sz val="10"/>
        <rFont val="Calibri"/>
        <family val="2"/>
      </rPr>
      <t>12.1. 00009869 - TUBO PVC, SOLDAVEL, DN 32 MM, AGUA FRIA (NBR-5648) (M)</t>
    </r>
  </si>
  <si>
    <r>
      <rPr>
        <b/>
        <sz val="7"/>
        <rFont val="Calibri"/>
        <family val="2"/>
      </rPr>
      <t>COMP</t>
    </r>
  </si>
  <si>
    <r>
      <rPr>
        <sz val="7"/>
        <rFont val="Calibri"/>
        <family val="2"/>
      </rPr>
      <t>TUBOS NO TETO</t>
    </r>
  </si>
  <si>
    <r>
      <rPr>
        <sz val="7"/>
        <rFont val="Calibri"/>
        <family val="2"/>
      </rPr>
      <t>COMP</t>
    </r>
  </si>
  <si>
    <r>
      <rPr>
        <sz val="7"/>
        <rFont val="Calibri"/>
        <family val="2"/>
      </rPr>
      <t>TUBOS DE PRUMADA</t>
    </r>
  </si>
  <si>
    <r>
      <rPr>
        <b/>
        <i/>
        <sz val="10"/>
        <rFont val="Calibri"/>
        <family val="2"/>
      </rPr>
      <t>12.2. 00009868 - TUBO PVC, SOLDAVEL, DN 25 MM, AGUA FRIA (NBR-5648) (M)</t>
    </r>
  </si>
  <si>
    <r>
      <rPr>
        <sz val="7"/>
        <rFont val="Calibri"/>
        <family val="2"/>
      </rPr>
      <t>ALIMENTAÇÃO AFS</t>
    </r>
  </si>
  <si>
    <r>
      <rPr>
        <b/>
        <i/>
        <sz val="10"/>
        <rFont val="Calibri"/>
        <family val="2"/>
      </rPr>
      <t>15.1. C0357 - BANCADA DE GRANITO (OUTRAS CORES) E= 3cm (COLOCADO) (M2)</t>
    </r>
  </si>
  <si>
    <r>
      <rPr>
        <sz val="7"/>
        <rFont val="Calibri"/>
        <family val="2"/>
      </rPr>
      <t>CONSULT. 1</t>
    </r>
  </si>
  <si>
    <r>
      <rPr>
        <sz val="7"/>
        <rFont val="Calibri"/>
        <family val="2"/>
      </rPr>
      <t>LAVABO 1</t>
    </r>
  </si>
  <si>
    <r>
      <rPr>
        <sz val="7"/>
        <rFont val="Calibri"/>
        <family val="2"/>
      </rPr>
      <t>CONSULT. 2</t>
    </r>
  </si>
  <si>
    <r>
      <rPr>
        <sz val="7"/>
        <rFont val="Calibri"/>
        <family val="2"/>
      </rPr>
      <t>WC LAVABO</t>
    </r>
  </si>
  <si>
    <r>
      <rPr>
        <sz val="7"/>
        <rFont val="Calibri"/>
        <family val="2"/>
      </rPr>
      <t>CONSULT. ODONTOLOGICO</t>
    </r>
  </si>
  <si>
    <t xml:space="preserve">MEMORIAL DE CÁLCULO
</t>
  </si>
  <si>
    <t>PERGOLADOS EM LINHA DE MADEIRA MACIÇA (14,00x7,00cm), TIPO MAÇARANDUBA, C/ ACABAMENTO EM VERNIZ FOSCO À BASE D'AGUA;  (M)</t>
  </si>
  <si>
    <t>CONTRAPISO EM CONCRETO MAGRO TRACO 1:3:5 5CM</t>
  </si>
  <si>
    <t>11.1. 170205 - CONTRAPISO EM CONCRETO MAGRO TRACO 1:3:5 5CM (M2)</t>
  </si>
  <si>
    <r>
      <rPr>
        <sz val="7"/>
        <rFont val="Calibri"/>
        <family val="2"/>
      </rPr>
      <t>I008766</t>
    </r>
  </si>
  <si>
    <r>
      <rPr>
        <sz val="7"/>
        <rFont val="Calibri"/>
        <family val="2"/>
      </rPr>
      <t>PEDRA BRITADA #1</t>
    </r>
  </si>
  <si>
    <t>11.2. 170205 - CONTRAPISO EM CONCRETO MAGRO TRACO 1:3:5 5CM</t>
  </si>
  <si>
    <t>ÁREA(M2)</t>
  </si>
  <si>
    <t>ÁREA A SER REVESTIDA</t>
  </si>
  <si>
    <t xml:space="preserve">LOCAL: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</si>
</sst>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* #,##0.00_-;\-&quot;R$&quot;* #,##0.00_-;_-&quot;R$&quot;* &quot;-&quot;??_-;_-@_-"/>
    <numFmt numFmtId="164" formatCode="#0.00000000"/>
    <numFmt numFmtId="165" formatCode="#0.00"/>
    <numFmt numFmtId="166" formatCode="_-&quot;R$&quot;\ * #,##0.00_-;\-&quot;R$&quot;\ * #,##0.00_-;_-&quot;R$&quot;\ * &quot;-&quot;??_-;_-@_-"/>
  </numFmts>
  <fonts count="41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7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9"/>
      <color rgb="FF000000"/>
      <name val="SansSerif"/>
      <family val="2"/>
    </font>
    <font>
      <b/>
      <sz val="5"/>
      <color rgb="FF000000"/>
      <name val="SansSerif"/>
      <family val="2"/>
    </font>
    <font>
      <b/>
      <sz val="6"/>
      <name val="Calibri"/>
      <family val="2"/>
    </font>
    <font>
      <sz val="6"/>
      <color rgb="FF000000"/>
      <name val="SansSerif"/>
      <family val="2"/>
    </font>
    <font>
      <sz val="7"/>
      <name val="Calibri"/>
      <family val="2"/>
    </font>
    <font>
      <b/>
      <sz val="10"/>
      <color theme="1"/>
      <name val="Arial Narrow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1"/>
      <name val="Arial"/>
      <family val="2"/>
    </font>
    <font>
      <sz val="7"/>
      <color rgb="FF000000"/>
      <name val="SansSerif"/>
      <family val="2"/>
    </font>
    <font>
      <sz val="8"/>
      <name val="Calibri"/>
      <family val="2"/>
    </font>
    <font>
      <sz val="8"/>
      <name val="Arial"/>
      <family val="2"/>
    </font>
    <font>
      <sz val="5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24"/>
      <color rgb="FF212121"/>
      <name val="Arial"/>
      <family val="2"/>
    </font>
    <font>
      <b/>
      <sz val="10"/>
      <color theme="1"/>
      <name val="Arial"/>
      <family val="2"/>
    </font>
    <font>
      <b/>
      <i/>
      <sz val="9"/>
      <color rgb="FF000000"/>
      <name val="SansSerif"/>
      <family val="2"/>
    </font>
    <font>
      <b/>
      <i/>
      <sz val="10"/>
      <name val="Calibri"/>
      <family val="2"/>
    </font>
    <font>
      <b/>
      <sz val="6"/>
      <color rgb="FF000000"/>
      <name val="SansSerif"/>
      <family val="2"/>
    </font>
    <font>
      <b/>
      <sz val="7"/>
      <name val="Calibri"/>
      <family val="2"/>
    </font>
  </fonts>
  <fills count="2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rgb="FFDFDFD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ck">
        <color indexed="64"/>
      </right>
      <top style="thin">
        <color indexed="64"/>
      </top>
      <bottom style="dashed">
        <color indexed="64"/>
      </bottom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thick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ck">
        <color indexed="64"/>
      </bottom>
      <diagonal/>
    </border>
    <border>
      <left style="dashed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4" fillId="15" borderId="1"/>
    <xf numFmtId="44" fontId="14" fillId="15" borderId="1" applyFont="0" applyFill="0" applyBorder="0" applyAlignment="0" applyProtection="0"/>
    <xf numFmtId="0" fontId="14" fillId="15" borderId="1"/>
    <xf numFmtId="166" fontId="14" fillId="15" borderId="1" applyFont="0" applyFill="0" applyBorder="0" applyAlignment="0" applyProtection="0"/>
    <xf numFmtId="0" fontId="14" fillId="15" borderId="1"/>
    <xf numFmtId="0" fontId="14" fillId="15" borderId="1"/>
    <xf numFmtId="9" fontId="14" fillId="15" borderId="1" applyFont="0" applyFill="0" applyBorder="0" applyAlignment="0" applyProtection="0"/>
    <xf numFmtId="0" fontId="14" fillId="15" borderId="1"/>
    <xf numFmtId="0" fontId="14" fillId="15" borderId="1"/>
  </cellStyleXfs>
  <cellXfs count="215">
    <xf numFmtId="0" fontId="0" fillId="0" borderId="0" xfId="0"/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7" borderId="2" xfId="0" applyNumberFormat="1" applyFont="1" applyFill="1" applyBorder="1" applyAlignment="1" applyProtection="1">
      <alignment horizontal="left" vertical="center" wrapText="1"/>
    </xf>
    <xf numFmtId="4" fontId="2" fillId="9" borderId="2" xfId="0" applyNumberFormat="1" applyFont="1" applyFill="1" applyBorder="1" applyAlignment="1" applyProtection="1">
      <alignment horizontal="right" vertical="center" wrapText="1"/>
    </xf>
    <xf numFmtId="0" fontId="3" fillId="10" borderId="2" xfId="0" applyNumberFormat="1" applyFont="1" applyFill="1" applyBorder="1" applyAlignment="1" applyProtection="1">
      <alignment horizontal="left" vertical="center" wrapText="1"/>
    </xf>
    <xf numFmtId="0" fontId="3" fillId="11" borderId="2" xfId="0" applyNumberFormat="1" applyFont="1" applyFill="1" applyBorder="1" applyAlignment="1" applyProtection="1">
      <alignment horizontal="center" vertical="center" wrapText="1"/>
    </xf>
    <xf numFmtId="0" fontId="3" fillId="12" borderId="2" xfId="0" applyNumberFormat="1" applyFont="1" applyFill="1" applyBorder="1" applyAlignment="1" applyProtection="1">
      <alignment horizontal="justify" vertical="center" wrapText="1"/>
    </xf>
    <xf numFmtId="4" fontId="3" fillId="13" borderId="2" xfId="0" applyNumberFormat="1" applyFont="1" applyFill="1" applyBorder="1" applyAlignment="1" applyProtection="1">
      <alignment horizontal="right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14" fillId="15" borderId="1" xfId="1"/>
    <xf numFmtId="0" fontId="0" fillId="15" borderId="1" xfId="1" applyNumberFormat="1" applyFont="1" applyFill="1" applyBorder="1" applyAlignment="1" applyProtection="1">
      <alignment wrapText="1"/>
      <protection locked="0"/>
    </xf>
    <xf numFmtId="0" fontId="4" fillId="6" borderId="2" xfId="1" applyNumberFormat="1" applyFont="1" applyFill="1" applyBorder="1" applyAlignment="1" applyProtection="1">
      <alignment horizontal="center" vertical="center" wrapText="1"/>
    </xf>
    <xf numFmtId="0" fontId="18" fillId="15" borderId="2" xfId="1" applyNumberFormat="1" applyFont="1" applyFill="1" applyBorder="1" applyAlignment="1" applyProtection="1">
      <alignment horizontal="center" vertical="top" wrapText="1"/>
    </xf>
    <xf numFmtId="0" fontId="18" fillId="15" borderId="2" xfId="1" applyNumberFormat="1" applyFont="1" applyFill="1" applyBorder="1" applyAlignment="1" applyProtection="1">
      <alignment horizontal="justify" vertical="top" wrapText="1"/>
    </xf>
    <xf numFmtId="164" fontId="18" fillId="15" borderId="2" xfId="1" applyNumberFormat="1" applyFont="1" applyFill="1" applyBorder="1" applyAlignment="1" applyProtection="1">
      <alignment horizontal="right" vertical="top" wrapText="1"/>
    </xf>
    <xf numFmtId="165" fontId="18" fillId="15" borderId="2" xfId="1" applyNumberFormat="1" applyFont="1" applyFill="1" applyBorder="1" applyAlignment="1" applyProtection="1">
      <alignment horizontal="right" vertical="top" wrapText="1"/>
    </xf>
    <xf numFmtId="165" fontId="16" fillId="15" borderId="2" xfId="1" applyNumberFormat="1" applyFont="1" applyFill="1" applyBorder="1" applyAlignment="1" applyProtection="1">
      <alignment horizontal="right" vertical="top" wrapText="1"/>
    </xf>
    <xf numFmtId="4" fontId="2" fillId="15" borderId="2" xfId="1" applyNumberFormat="1" applyFont="1" applyFill="1" applyBorder="1" applyAlignment="1" applyProtection="1">
      <alignment horizontal="right" vertical="center" wrapText="1"/>
    </xf>
    <xf numFmtId="0" fontId="0" fillId="15" borderId="1" xfId="1" applyNumberFormat="1" applyFont="1" applyFill="1" applyBorder="1" applyAlignment="1" applyProtection="1">
      <alignment wrapText="1"/>
      <protection locked="0"/>
    </xf>
    <xf numFmtId="0" fontId="20" fillId="15" borderId="3" xfId="1" applyNumberFormat="1" applyFont="1" applyFill="1" applyBorder="1" applyAlignment="1" applyProtection="1">
      <alignment horizontal="left" vertical="center"/>
      <protection locked="0"/>
    </xf>
    <xf numFmtId="0" fontId="20" fillId="15" borderId="4" xfId="1" applyNumberFormat="1" applyFont="1" applyFill="1" applyBorder="1" applyAlignment="1" applyProtection="1">
      <alignment vertical="top" wrapText="1"/>
      <protection locked="0"/>
    </xf>
    <xf numFmtId="44" fontId="0" fillId="15" borderId="1" xfId="2" applyFont="1"/>
    <xf numFmtId="0" fontId="23" fillId="15" borderId="5" xfId="1" applyNumberFormat="1" applyFont="1" applyFill="1" applyBorder="1" applyAlignment="1" applyProtection="1">
      <alignment horizontal="left" vertical="center"/>
      <protection locked="0"/>
    </xf>
    <xf numFmtId="0" fontId="24" fillId="15" borderId="1" xfId="1" applyNumberFormat="1" applyFont="1" applyFill="1" applyBorder="1" applyAlignment="1" applyProtection="1">
      <alignment horizontal="right" vertical="center" wrapText="1"/>
    </xf>
    <xf numFmtId="0" fontId="25" fillId="15" borderId="1" xfId="1" applyNumberFormat="1" applyFont="1" applyFill="1" applyBorder="1" applyAlignment="1" applyProtection="1">
      <alignment horizontal="right" vertical="center" wrapText="1"/>
      <protection locked="0"/>
    </xf>
    <xf numFmtId="0" fontId="27" fillId="17" borderId="2" xfId="1" applyNumberFormat="1" applyFont="1" applyFill="1" applyBorder="1" applyAlignment="1" applyProtection="1">
      <alignment horizontal="center" vertical="center" wrapText="1"/>
    </xf>
    <xf numFmtId="4" fontId="30" fillId="15" borderId="7" xfId="1" applyNumberFormat="1" applyFont="1" applyFill="1" applyBorder="1" applyAlignment="1" applyProtection="1">
      <alignment horizontal="right" vertical="center" wrapText="1"/>
    </xf>
    <xf numFmtId="0" fontId="0" fillId="15" borderId="7" xfId="1" applyNumberFormat="1" applyFont="1" applyFill="1" applyBorder="1" applyAlignment="1" applyProtection="1">
      <alignment wrapText="1"/>
      <protection locked="0"/>
    </xf>
    <xf numFmtId="0" fontId="0" fillId="15" borderId="8" xfId="1" applyNumberFormat="1" applyFont="1" applyFill="1" applyBorder="1" applyAlignment="1" applyProtection="1">
      <alignment wrapText="1"/>
      <protection locked="0"/>
    </xf>
    <xf numFmtId="0" fontId="0" fillId="15" borderId="9" xfId="1" applyNumberFormat="1" applyFont="1" applyFill="1" applyBorder="1" applyAlignment="1" applyProtection="1">
      <alignment wrapText="1"/>
      <protection locked="0"/>
    </xf>
    <xf numFmtId="4" fontId="4" fillId="15" borderId="7" xfId="1" applyNumberFormat="1" applyFont="1" applyFill="1" applyBorder="1" applyAlignment="1" applyProtection="1">
      <alignment horizontal="right" vertical="center" wrapText="1"/>
    </xf>
    <xf numFmtId="4" fontId="13" fillId="17" borderId="2" xfId="1" applyNumberFormat="1" applyFont="1" applyFill="1" applyBorder="1" applyAlignment="1" applyProtection="1">
      <alignment horizontal="right" vertical="center" wrapText="1"/>
    </xf>
    <xf numFmtId="0" fontId="0" fillId="15" borderId="10" xfId="1" applyNumberFormat="1" applyFont="1" applyFill="1" applyBorder="1" applyAlignment="1" applyProtection="1">
      <alignment wrapText="1"/>
      <protection locked="0"/>
    </xf>
    <xf numFmtId="0" fontId="0" fillId="15" borderId="11" xfId="1" applyNumberFormat="1" applyFont="1" applyFill="1" applyBorder="1" applyAlignment="1" applyProtection="1">
      <alignment wrapText="1"/>
      <protection locked="0"/>
    </xf>
    <xf numFmtId="0" fontId="0" fillId="15" borderId="12" xfId="1" applyNumberFormat="1" applyFont="1" applyFill="1" applyBorder="1" applyAlignment="1" applyProtection="1">
      <alignment wrapText="1"/>
      <protection locked="0"/>
    </xf>
    <xf numFmtId="4" fontId="1" fillId="15" borderId="2" xfId="1" applyNumberFormat="1" applyFont="1" applyFill="1" applyBorder="1" applyAlignment="1" applyProtection="1">
      <alignment horizontal="right" vertical="center" wrapText="1"/>
    </xf>
    <xf numFmtId="0" fontId="0" fillId="17" borderId="8" xfId="1" applyNumberFormat="1" applyFont="1" applyFill="1" applyBorder="1" applyAlignment="1" applyProtection="1">
      <alignment wrapText="1"/>
      <protection locked="0"/>
    </xf>
    <xf numFmtId="0" fontId="0" fillId="17" borderId="13" xfId="1" applyNumberFormat="1" applyFont="1" applyFill="1" applyBorder="1" applyAlignment="1" applyProtection="1">
      <alignment wrapText="1"/>
      <protection locked="0"/>
    </xf>
    <xf numFmtId="4" fontId="13" fillId="17" borderId="7" xfId="1" applyNumberFormat="1" applyFont="1" applyFill="1" applyBorder="1" applyAlignment="1" applyProtection="1">
      <alignment horizontal="right" vertical="center" wrapText="1"/>
    </xf>
    <xf numFmtId="0" fontId="0" fillId="17" borderId="11" xfId="1" applyNumberFormat="1" applyFont="1" applyFill="1" applyBorder="1" applyAlignment="1" applyProtection="1">
      <alignment wrapText="1"/>
      <protection locked="0"/>
    </xf>
    <xf numFmtId="0" fontId="0" fillId="17" borderId="6" xfId="1" applyNumberFormat="1" applyFont="1" applyFill="1" applyBorder="1" applyAlignment="1" applyProtection="1">
      <alignment wrapText="1"/>
      <protection locked="0"/>
    </xf>
    <xf numFmtId="0" fontId="26" fillId="18" borderId="6" xfId="1" applyNumberFormat="1" applyFont="1" applyFill="1" applyBorder="1" applyAlignment="1" applyProtection="1">
      <alignment vertical="top" wrapText="1"/>
    </xf>
    <xf numFmtId="0" fontId="4" fillId="6" borderId="15" xfId="1" applyNumberFormat="1" applyFont="1" applyFill="1" applyBorder="1" applyAlignment="1" applyProtection="1">
      <alignment horizontal="center" vertical="center" wrapText="1"/>
    </xf>
    <xf numFmtId="165" fontId="18" fillId="15" borderId="15" xfId="1" applyNumberFormat="1" applyFont="1" applyFill="1" applyBorder="1" applyAlignment="1" applyProtection="1">
      <alignment horizontal="right" vertical="top" wrapText="1"/>
    </xf>
    <xf numFmtId="165" fontId="16" fillId="15" borderId="15" xfId="1" applyNumberFormat="1" applyFont="1" applyFill="1" applyBorder="1" applyAlignment="1" applyProtection="1">
      <alignment horizontal="right" vertical="top" wrapText="1"/>
    </xf>
    <xf numFmtId="0" fontId="26" fillId="18" borderId="1" xfId="1" applyNumberFormat="1" applyFont="1" applyFill="1" applyBorder="1" applyAlignment="1" applyProtection="1">
      <alignment vertical="top" wrapText="1"/>
    </xf>
    <xf numFmtId="0" fontId="14" fillId="18" borderId="1" xfId="1" applyFill="1" applyBorder="1"/>
    <xf numFmtId="0" fontId="14" fillId="15" borderId="1" xfId="1" applyBorder="1"/>
    <xf numFmtId="0" fontId="26" fillId="0" borderId="1" xfId="1" applyNumberFormat="1" applyFont="1" applyFill="1" applyBorder="1" applyAlignment="1" applyProtection="1">
      <alignment vertical="top" wrapText="1"/>
    </xf>
    <xf numFmtId="0" fontId="14" fillId="0" borderId="1" xfId="1" applyFill="1" applyBorder="1"/>
    <xf numFmtId="0" fontId="20" fillId="15" borderId="16" xfId="1" applyNumberFormat="1" applyFont="1" applyFill="1" applyBorder="1" applyAlignment="1" applyProtection="1">
      <alignment horizontal="left" vertical="center"/>
      <protection locked="0"/>
    </xf>
    <xf numFmtId="0" fontId="20" fillId="15" borderId="17" xfId="1" applyNumberFormat="1" applyFont="1" applyFill="1" applyBorder="1" applyAlignment="1" applyProtection="1">
      <alignment vertical="top" wrapText="1"/>
      <protection locked="0"/>
    </xf>
    <xf numFmtId="0" fontId="14" fillId="15" borderId="17" xfId="1" applyBorder="1"/>
    <xf numFmtId="44" fontId="0" fillId="15" borderId="18" xfId="2" applyFont="1" applyBorder="1"/>
    <xf numFmtId="44" fontId="0" fillId="15" borderId="20" xfId="2" applyFont="1" applyBorder="1"/>
    <xf numFmtId="0" fontId="23" fillId="15" borderId="19" xfId="1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/>
    <xf numFmtId="0" fontId="2" fillId="6" borderId="10" xfId="0" applyNumberFormat="1" applyFont="1" applyFill="1" applyBorder="1" applyAlignment="1" applyProtection="1">
      <alignment horizontal="center" vertical="center" wrapText="1"/>
    </xf>
    <xf numFmtId="44" fontId="0" fillId="15" borderId="17" xfId="2" applyFont="1" applyBorder="1"/>
    <xf numFmtId="44" fontId="0" fillId="15" borderId="1" xfId="2" applyFont="1" applyBorder="1"/>
    <xf numFmtId="0" fontId="25" fillId="15" borderId="4" xfId="3" applyNumberFormat="1" applyFont="1" applyFill="1" applyBorder="1" applyAlignment="1" applyProtection="1">
      <alignment horizontal="left" vertical="center" wrapText="1"/>
      <protection locked="0"/>
    </xf>
    <xf numFmtId="166" fontId="25" fillId="15" borderId="24" xfId="4" applyFont="1" applyFill="1" applyBorder="1" applyAlignment="1" applyProtection="1">
      <alignment horizontal="left" vertical="center" wrapText="1"/>
      <protection locked="0"/>
    </xf>
    <xf numFmtId="0" fontId="23" fillId="15" borderId="1" xfId="3" applyFont="1"/>
    <xf numFmtId="166" fontId="23" fillId="15" borderId="17" xfId="4" applyFont="1" applyFill="1" applyBorder="1" applyAlignment="1" applyProtection="1">
      <alignment horizontal="left" vertical="center" wrapText="1"/>
      <protection locked="0"/>
    </xf>
    <xf numFmtId="0" fontId="25" fillId="15" borderId="1" xfId="3" applyNumberFormat="1" applyFont="1" applyFill="1" applyBorder="1" applyAlignment="1" applyProtection="1">
      <alignment horizontal="left" vertical="center" wrapText="1"/>
      <protection locked="0"/>
    </xf>
    <xf numFmtId="166" fontId="25" fillId="15" borderId="25" xfId="4" applyFont="1" applyFill="1" applyBorder="1" applyAlignment="1" applyProtection="1">
      <alignment horizontal="left" vertical="center" wrapText="1"/>
      <protection locked="0"/>
    </xf>
    <xf numFmtId="166" fontId="23" fillId="15" borderId="1" xfId="4" applyFont="1" applyFill="1" applyBorder="1" applyAlignment="1" applyProtection="1">
      <alignment horizontal="left" vertical="center" wrapText="1"/>
      <protection locked="0"/>
    </xf>
    <xf numFmtId="0" fontId="23" fillId="15" borderId="26" xfId="5" applyNumberFormat="1" applyFont="1" applyFill="1" applyBorder="1" applyAlignment="1" applyProtection="1">
      <alignment horizontal="left" vertical="top" wrapText="1"/>
      <protection locked="0"/>
    </xf>
    <xf numFmtId="0" fontId="23" fillId="15" borderId="22" xfId="5" applyNumberFormat="1" applyFont="1" applyFill="1" applyBorder="1" applyAlignment="1" applyProtection="1">
      <alignment horizontal="left" vertical="top" wrapText="1"/>
      <protection locked="0"/>
    </xf>
    <xf numFmtId="166" fontId="23" fillId="15" borderId="22" xfId="4" applyFont="1" applyFill="1" applyBorder="1" applyAlignment="1" applyProtection="1">
      <alignment horizontal="left" vertical="top" wrapText="1"/>
      <protection locked="0"/>
    </xf>
    <xf numFmtId="166" fontId="23" fillId="15" borderId="27" xfId="4" applyFont="1" applyFill="1" applyBorder="1" applyAlignment="1" applyProtection="1">
      <alignment horizontal="left" vertical="top" wrapText="1"/>
      <protection locked="0"/>
    </xf>
    <xf numFmtId="0" fontId="31" fillId="15" borderId="1" xfId="6" applyFont="1"/>
    <xf numFmtId="0" fontId="32" fillId="19" borderId="31" xfId="6" applyNumberFormat="1" applyFont="1" applyFill="1" applyBorder="1" applyAlignment="1" applyProtection="1">
      <alignment horizontal="center" vertical="center" wrapText="1"/>
    </xf>
    <xf numFmtId="0" fontId="32" fillId="19" borderId="32" xfId="6" applyNumberFormat="1" applyFont="1" applyFill="1" applyBorder="1" applyAlignment="1" applyProtection="1">
      <alignment horizontal="center" vertical="center" wrapText="1"/>
    </xf>
    <xf numFmtId="0" fontId="31" fillId="15" borderId="31" xfId="6" applyNumberFormat="1" applyFont="1" applyFill="1" applyBorder="1" applyAlignment="1" applyProtection="1">
      <alignment wrapText="1"/>
      <protection locked="0"/>
    </xf>
    <xf numFmtId="0" fontId="34" fillId="15" borderId="31" xfId="6" applyNumberFormat="1" applyFont="1" applyFill="1" applyBorder="1" applyAlignment="1" applyProtection="1">
      <alignment horizontal="center" vertical="top" wrapText="1"/>
    </xf>
    <xf numFmtId="0" fontId="34" fillId="15" borderId="32" xfId="6" applyNumberFormat="1" applyFont="1" applyFill="1" applyBorder="1" applyAlignment="1" applyProtection="1">
      <alignment horizontal="left" vertical="top" wrapText="1"/>
    </xf>
    <xf numFmtId="0" fontId="32" fillId="15" borderId="32" xfId="6" applyNumberFormat="1" applyFont="1" applyFill="1" applyBorder="1" applyAlignment="1" applyProtection="1">
      <alignment horizontal="left" vertical="top" wrapText="1"/>
    </xf>
    <xf numFmtId="0" fontId="32" fillId="15" borderId="31" xfId="6" applyNumberFormat="1" applyFont="1" applyFill="1" applyBorder="1" applyAlignment="1" applyProtection="1">
      <alignment horizontal="center" vertical="center" wrapText="1"/>
    </xf>
    <xf numFmtId="0" fontId="34" fillId="15" borderId="32" xfId="6" applyNumberFormat="1" applyFont="1" applyFill="1" applyBorder="1" applyAlignment="1" applyProtection="1">
      <alignment horizontal="left" vertical="center" wrapText="1"/>
    </xf>
    <xf numFmtId="0" fontId="35" fillId="15" borderId="1" xfId="8" applyFont="1" applyAlignment="1">
      <alignment horizontal="center" vertical="center" wrapText="1"/>
    </xf>
    <xf numFmtId="0" fontId="32" fillId="15" borderId="31" xfId="6" applyNumberFormat="1" applyFont="1" applyFill="1" applyBorder="1" applyAlignment="1" applyProtection="1">
      <alignment horizontal="center" vertical="top" wrapText="1"/>
    </xf>
    <xf numFmtId="0" fontId="32" fillId="15" borderId="32" xfId="6" applyNumberFormat="1" applyFont="1" applyFill="1" applyBorder="1" applyAlignment="1" applyProtection="1">
      <alignment horizontal="right" vertical="top" wrapText="1"/>
    </xf>
    <xf numFmtId="0" fontId="32" fillId="19" borderId="32" xfId="6" applyNumberFormat="1" applyFont="1" applyFill="1" applyBorder="1" applyAlignment="1" applyProtection="1">
      <alignment horizontal="right" vertical="top" wrapText="1"/>
    </xf>
    <xf numFmtId="0" fontId="31" fillId="15" borderId="33" xfId="6" applyFont="1" applyBorder="1"/>
    <xf numFmtId="0" fontId="34" fillId="15" borderId="37" xfId="6" applyNumberFormat="1" applyFont="1" applyFill="1" applyBorder="1" applyAlignment="1" applyProtection="1">
      <alignment horizontal="center" vertical="top" wrapText="1"/>
    </xf>
    <xf numFmtId="0" fontId="31" fillId="15" borderId="39" xfId="6" applyFont="1" applyBorder="1"/>
    <xf numFmtId="0" fontId="19" fillId="15" borderId="2" xfId="1" applyNumberFormat="1" applyFont="1" applyFill="1" applyBorder="1" applyAlignment="1" applyProtection="1">
      <alignment horizontal="justify" vertical="top" wrapText="1"/>
    </xf>
    <xf numFmtId="0" fontId="14" fillId="15" borderId="1" xfId="9"/>
    <xf numFmtId="0" fontId="0" fillId="15" borderId="1" xfId="9" applyNumberFormat="1" applyFont="1" applyFill="1" applyBorder="1" applyAlignment="1" applyProtection="1">
      <alignment wrapText="1"/>
      <protection locked="0"/>
    </xf>
    <xf numFmtId="0" fontId="39" fillId="17" borderId="2" xfId="9" applyNumberFormat="1" applyFont="1" applyFill="1" applyBorder="1" applyAlignment="1" applyProtection="1">
      <alignment horizontal="left" vertical="center" wrapText="1"/>
    </xf>
    <xf numFmtId="0" fontId="39" fillId="17" borderId="2" xfId="9" applyNumberFormat="1" applyFont="1" applyFill="1" applyBorder="1" applyAlignment="1" applyProtection="1">
      <alignment horizontal="center" vertical="center" wrapText="1"/>
    </xf>
    <xf numFmtId="0" fontId="18" fillId="20" borderId="7" xfId="9" applyNumberFormat="1" applyFont="1" applyFill="1" applyBorder="1" applyAlignment="1" applyProtection="1">
      <alignment horizontal="left" vertical="top" wrapText="1"/>
    </xf>
    <xf numFmtId="0" fontId="18" fillId="15" borderId="7" xfId="9" applyNumberFormat="1" applyFont="1" applyFill="1" applyBorder="1" applyAlignment="1" applyProtection="1">
      <alignment horizontal="right" vertical="top" wrapText="1"/>
    </xf>
    <xf numFmtId="165" fontId="39" fillId="17" borderId="7" xfId="9" applyNumberFormat="1" applyFont="1" applyFill="1" applyBorder="1" applyAlignment="1" applyProtection="1">
      <alignment horizontal="right" vertical="top" wrapText="1"/>
    </xf>
    <xf numFmtId="0" fontId="0" fillId="17" borderId="14" xfId="9" applyNumberFormat="1" applyFont="1" applyFill="1" applyBorder="1" applyAlignment="1" applyProtection="1">
      <alignment wrapText="1"/>
      <protection locked="0"/>
    </xf>
    <xf numFmtId="0" fontId="0" fillId="17" borderId="2" xfId="9" applyNumberFormat="1" applyFont="1" applyFill="1" applyBorder="1" applyAlignment="1" applyProtection="1">
      <alignment wrapText="1"/>
      <protection locked="0"/>
    </xf>
    <xf numFmtId="165" fontId="39" fillId="17" borderId="2" xfId="9" applyNumberFormat="1" applyFont="1" applyFill="1" applyBorder="1" applyAlignment="1" applyProtection="1">
      <alignment horizontal="right" vertical="center" wrapText="1"/>
    </xf>
    <xf numFmtId="0" fontId="0" fillId="15" borderId="19" xfId="9" applyNumberFormat="1" applyFont="1" applyFill="1" applyBorder="1" applyAlignment="1" applyProtection="1">
      <alignment wrapText="1"/>
      <protection locked="0"/>
    </xf>
    <xf numFmtId="0" fontId="0" fillId="15" borderId="20" xfId="9" applyNumberFormat="1" applyFont="1" applyFill="1" applyBorder="1" applyAlignment="1" applyProtection="1">
      <alignment wrapText="1"/>
      <protection locked="0"/>
    </xf>
    <xf numFmtId="0" fontId="18" fillId="20" borderId="41" xfId="9" applyNumberFormat="1" applyFont="1" applyFill="1" applyBorder="1" applyAlignment="1" applyProtection="1">
      <alignment horizontal="left" vertical="top" wrapText="1"/>
    </xf>
    <xf numFmtId="0" fontId="0" fillId="17" borderId="42" xfId="9" applyNumberFormat="1" applyFont="1" applyFill="1" applyBorder="1" applyAlignment="1" applyProtection="1">
      <alignment wrapText="1"/>
      <protection locked="0"/>
    </xf>
    <xf numFmtId="0" fontId="14" fillId="15" borderId="21" xfId="9" applyBorder="1"/>
    <xf numFmtId="0" fontId="14" fillId="15" borderId="22" xfId="9" applyBorder="1"/>
    <xf numFmtId="0" fontId="14" fillId="15" borderId="23" xfId="9" applyBorder="1"/>
    <xf numFmtId="0" fontId="14" fillId="0" borderId="1" xfId="9" applyFill="1"/>
    <xf numFmtId="0" fontId="14" fillId="0" borderId="1" xfId="1" applyFill="1"/>
    <xf numFmtId="0" fontId="4" fillId="6" borderId="2" xfId="0" applyNumberFormat="1" applyFont="1" applyFill="1" applyBorder="1" applyAlignment="1" applyProtection="1">
      <alignment horizontal="center" vertical="center" wrapText="1"/>
    </xf>
    <xf numFmtId="0" fontId="18" fillId="15" borderId="2" xfId="0" applyNumberFormat="1" applyFont="1" applyFill="1" applyBorder="1" applyAlignment="1" applyProtection="1">
      <alignment horizontal="center" vertical="top" wrapText="1"/>
    </xf>
    <xf numFmtId="0" fontId="18" fillId="15" borderId="2" xfId="0" applyNumberFormat="1" applyFont="1" applyFill="1" applyBorder="1" applyAlignment="1" applyProtection="1">
      <alignment horizontal="justify" vertical="top" wrapText="1"/>
    </xf>
    <xf numFmtId="164" fontId="18" fillId="15" borderId="2" xfId="0" applyNumberFormat="1" applyFont="1" applyFill="1" applyBorder="1" applyAlignment="1" applyProtection="1">
      <alignment horizontal="right" vertical="top" wrapText="1"/>
    </xf>
    <xf numFmtId="165" fontId="18" fillId="15" borderId="2" xfId="0" applyNumberFormat="1" applyFont="1" applyFill="1" applyBorder="1" applyAlignment="1" applyProtection="1">
      <alignment horizontal="right" vertical="top" wrapText="1"/>
    </xf>
    <xf numFmtId="0" fontId="0" fillId="15" borderId="1" xfId="0" applyNumberFormat="1" applyFont="1" applyFill="1" applyBorder="1" applyAlignment="1" applyProtection="1">
      <alignment wrapText="1"/>
      <protection locked="0"/>
    </xf>
    <xf numFmtId="165" fontId="16" fillId="15" borderId="2" xfId="0" applyNumberFormat="1" applyFont="1" applyFill="1" applyBorder="1" applyAlignment="1" applyProtection="1">
      <alignment horizontal="right" vertical="top" wrapText="1"/>
    </xf>
    <xf numFmtId="4" fontId="2" fillId="15" borderId="2" xfId="0" applyNumberFormat="1" applyFont="1" applyFill="1" applyBorder="1" applyAlignment="1" applyProtection="1">
      <alignment horizontal="right" vertical="center" wrapText="1"/>
    </xf>
    <xf numFmtId="0" fontId="40" fillId="0" borderId="1" xfId="9" applyNumberFormat="1" applyFont="1" applyFill="1" applyBorder="1" applyAlignment="1" applyProtection="1">
      <alignment horizontal="center" vertical="center" wrapText="1"/>
    </xf>
    <xf numFmtId="165" fontId="39" fillId="0" borderId="1" xfId="9" applyNumberFormat="1" applyFont="1" applyFill="1" applyBorder="1" applyAlignment="1" applyProtection="1">
      <alignment horizontal="right" vertical="top" wrapText="1"/>
    </xf>
    <xf numFmtId="165" fontId="39" fillId="0" borderId="1" xfId="9" applyNumberFormat="1" applyFont="1" applyFill="1" applyBorder="1" applyAlignment="1" applyProtection="1">
      <alignment horizontal="right" vertical="center" wrapText="1"/>
    </xf>
    <xf numFmtId="0" fontId="0" fillId="15" borderId="40" xfId="9" applyNumberFormat="1" applyFont="1" applyFill="1" applyBorder="1" applyAlignment="1" applyProtection="1">
      <alignment wrapText="1"/>
      <protection locked="0"/>
    </xf>
    <xf numFmtId="0" fontId="39" fillId="17" borderId="40" xfId="9" applyNumberFormat="1" applyFont="1" applyFill="1" applyBorder="1" applyAlignment="1" applyProtection="1">
      <alignment horizontal="left" vertical="center" wrapText="1"/>
    </xf>
    <xf numFmtId="0" fontId="40" fillId="17" borderId="40" xfId="9" applyNumberFormat="1" applyFont="1" applyFill="1" applyBorder="1" applyAlignment="1" applyProtection="1">
      <alignment horizontal="center" vertical="center" wrapText="1"/>
    </xf>
    <xf numFmtId="0" fontId="18" fillId="20" borderId="40" xfId="9" applyNumberFormat="1" applyFont="1" applyFill="1" applyBorder="1" applyAlignment="1" applyProtection="1">
      <alignment horizontal="left" vertical="top" wrapText="1"/>
    </xf>
    <xf numFmtId="0" fontId="18" fillId="15" borderId="40" xfId="9" applyNumberFormat="1" applyFont="1" applyFill="1" applyBorder="1" applyAlignment="1" applyProtection="1">
      <alignment horizontal="right" vertical="top" wrapText="1"/>
    </xf>
    <xf numFmtId="165" fontId="39" fillId="17" borderId="40" xfId="9" applyNumberFormat="1" applyFont="1" applyFill="1" applyBorder="1" applyAlignment="1" applyProtection="1">
      <alignment horizontal="right" vertical="top" wrapText="1"/>
    </xf>
    <xf numFmtId="0" fontId="0" fillId="17" borderId="40" xfId="9" applyNumberFormat="1" applyFont="1" applyFill="1" applyBorder="1" applyAlignment="1" applyProtection="1">
      <alignment wrapText="1"/>
      <protection locked="0"/>
    </xf>
    <xf numFmtId="165" fontId="39" fillId="17" borderId="40" xfId="9" applyNumberFormat="1" applyFont="1" applyFill="1" applyBorder="1" applyAlignment="1" applyProtection="1">
      <alignment horizontal="right" vertical="center" wrapText="1"/>
    </xf>
    <xf numFmtId="0" fontId="19" fillId="20" borderId="40" xfId="9" applyNumberFormat="1" applyFont="1" applyFill="1" applyBorder="1" applyAlignment="1" applyProtection="1">
      <alignment horizontal="left" vertical="top" wrapText="1"/>
    </xf>
    <xf numFmtId="0" fontId="0" fillId="2" borderId="1" xfId="0" applyNumberFormat="1" applyFont="1" applyFill="1" applyBorder="1" applyAlignment="1" applyProtection="1">
      <alignment horizontal="left" vertical="top" wrapText="1"/>
      <protection locked="0"/>
    </xf>
    <xf numFmtId="0" fontId="1" fillId="4" borderId="1" xfId="0" applyNumberFormat="1" applyFont="1" applyFill="1" applyBorder="1" applyAlignment="1" applyProtection="1">
      <alignment horizontal="right" vertical="center" wrapText="1"/>
    </xf>
    <xf numFmtId="0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0" fontId="2" fillId="7" borderId="2" xfId="0" applyNumberFormat="1" applyFont="1" applyFill="1" applyBorder="1" applyAlignment="1" applyProtection="1">
      <alignment horizontal="left" vertical="center" wrapText="1"/>
    </xf>
    <xf numFmtId="0" fontId="2" fillId="8" borderId="2" xfId="0" applyNumberFormat="1" applyFont="1" applyFill="1" applyBorder="1" applyAlignment="1" applyProtection="1">
      <alignment horizontal="left" vertical="center" wrapText="1"/>
      <protection locked="0"/>
    </xf>
    <xf numFmtId="0" fontId="22" fillId="15" borderId="19" xfId="1" applyNumberFormat="1" applyFont="1" applyFill="1" applyBorder="1" applyAlignment="1" applyProtection="1">
      <alignment horizontal="left" vertical="center"/>
      <protection locked="0"/>
    </xf>
    <xf numFmtId="0" fontId="22" fillId="15" borderId="1" xfId="1" applyNumberFormat="1" applyFont="1" applyFill="1" applyBorder="1" applyAlignment="1" applyProtection="1">
      <alignment horizontal="left" vertical="center"/>
      <protection locked="0"/>
    </xf>
    <xf numFmtId="0" fontId="26" fillId="16" borderId="21" xfId="1" applyNumberFormat="1" applyFont="1" applyFill="1" applyBorder="1" applyAlignment="1" applyProtection="1">
      <alignment horizontal="center" vertical="top" wrapText="1"/>
    </xf>
    <xf numFmtId="0" fontId="26" fillId="16" borderId="22" xfId="1" applyNumberFormat="1" applyFont="1" applyFill="1" applyBorder="1" applyAlignment="1" applyProtection="1">
      <alignment horizontal="center" vertical="top" wrapText="1"/>
    </xf>
    <xf numFmtId="0" fontId="26" fillId="16" borderId="23" xfId="1" applyNumberFormat="1" applyFont="1" applyFill="1" applyBorder="1" applyAlignment="1" applyProtection="1">
      <alignment horizontal="center" vertical="top" wrapText="1"/>
    </xf>
    <xf numFmtId="0" fontId="4" fillId="14" borderId="1" xfId="0" applyNumberFormat="1" applyFont="1" applyFill="1" applyBorder="1" applyAlignment="1" applyProtection="1">
      <alignment horizontal="right" vertical="center" wrapText="1"/>
    </xf>
    <xf numFmtId="0" fontId="4" fillId="15" borderId="1" xfId="0" applyNumberFormat="1" applyFont="1" applyFill="1" applyBorder="1" applyAlignment="1" applyProtection="1">
      <alignment horizontal="right" vertical="center" wrapText="1"/>
      <protection locked="0"/>
    </xf>
    <xf numFmtId="0" fontId="37" fillId="15" borderId="19" xfId="9" applyNumberFormat="1" applyFont="1" applyFill="1" applyBorder="1" applyAlignment="1" applyProtection="1">
      <alignment horizontal="left" vertical="top" wrapText="1"/>
    </xf>
    <xf numFmtId="0" fontId="37" fillId="15" borderId="1" xfId="9" applyNumberFormat="1" applyFont="1" applyFill="1" applyBorder="1" applyAlignment="1" applyProtection="1">
      <alignment horizontal="left" vertical="top" wrapText="1"/>
      <protection locked="0"/>
    </xf>
    <xf numFmtId="0" fontId="37" fillId="15" borderId="20" xfId="9" applyNumberFormat="1" applyFont="1" applyFill="1" applyBorder="1" applyAlignment="1" applyProtection="1">
      <alignment horizontal="left" vertical="top" wrapText="1"/>
      <protection locked="0"/>
    </xf>
    <xf numFmtId="0" fontId="38" fillId="15" borderId="19" xfId="9" applyNumberFormat="1" applyFont="1" applyFill="1" applyBorder="1" applyAlignment="1" applyProtection="1">
      <alignment horizontal="left" vertical="top" wrapText="1"/>
    </xf>
    <xf numFmtId="0" fontId="26" fillId="16" borderId="43" xfId="1" applyNumberFormat="1" applyFont="1" applyFill="1" applyBorder="1" applyAlignment="1" applyProtection="1">
      <alignment horizontal="center" vertical="top" wrapText="1"/>
    </xf>
    <xf numFmtId="0" fontId="26" fillId="16" borderId="44" xfId="1" applyNumberFormat="1" applyFont="1" applyFill="1" applyBorder="1" applyAlignment="1" applyProtection="1">
      <alignment horizontal="center" vertical="top" wrapText="1"/>
    </xf>
    <xf numFmtId="0" fontId="26" fillId="16" borderId="45" xfId="1" applyNumberFormat="1" applyFont="1" applyFill="1" applyBorder="1" applyAlignment="1" applyProtection="1">
      <alignment horizontal="center" vertical="top" wrapText="1"/>
    </xf>
    <xf numFmtId="0" fontId="2" fillId="15" borderId="2" xfId="1" applyNumberFormat="1" applyFont="1" applyFill="1" applyBorder="1" applyAlignment="1" applyProtection="1">
      <alignment horizontal="right" vertical="center" wrapText="1"/>
    </xf>
    <xf numFmtId="0" fontId="2" fillId="15" borderId="2" xfId="1" applyNumberFormat="1" applyFont="1" applyFill="1" applyBorder="1" applyAlignment="1" applyProtection="1">
      <alignment horizontal="right" vertical="center" wrapText="1"/>
      <protection locked="0"/>
    </xf>
    <xf numFmtId="0" fontId="1" fillId="15" borderId="2" xfId="1" applyNumberFormat="1" applyFont="1" applyFill="1" applyBorder="1" applyAlignment="1" applyProtection="1">
      <alignment horizontal="left" vertical="center" wrapText="1"/>
    </xf>
    <xf numFmtId="0" fontId="1" fillId="15" borderId="2" xfId="1" applyNumberFormat="1" applyFont="1" applyFill="1" applyBorder="1" applyAlignment="1" applyProtection="1">
      <alignment horizontal="left" vertical="center" wrapText="1"/>
      <protection locked="0"/>
    </xf>
    <xf numFmtId="0" fontId="16" fillId="6" borderId="2" xfId="1" applyNumberFormat="1" applyFont="1" applyFill="1" applyBorder="1" applyAlignment="1" applyProtection="1">
      <alignment horizontal="left" vertical="center" wrapText="1"/>
    </xf>
    <xf numFmtId="0" fontId="16" fillId="6" borderId="2" xfId="1" applyNumberFormat="1" applyFont="1" applyFill="1" applyBorder="1" applyAlignment="1" applyProtection="1">
      <alignment horizontal="left" vertical="center" wrapText="1"/>
      <protection locked="0"/>
    </xf>
    <xf numFmtId="0" fontId="16" fillId="15" borderId="2" xfId="1" applyNumberFormat="1" applyFont="1" applyFill="1" applyBorder="1" applyAlignment="1" applyProtection="1">
      <alignment horizontal="right" vertical="top" wrapText="1"/>
    </xf>
    <xf numFmtId="0" fontId="16" fillId="15" borderId="2" xfId="1" applyNumberFormat="1" applyFont="1" applyFill="1" applyBorder="1" applyAlignment="1" applyProtection="1">
      <alignment horizontal="right" vertical="top" wrapText="1"/>
      <protection locked="0"/>
    </xf>
    <xf numFmtId="0" fontId="15" fillId="15" borderId="1" xfId="1" applyNumberFormat="1" applyFont="1" applyFill="1" applyBorder="1" applyAlignment="1" applyProtection="1">
      <alignment horizontal="left" vertical="top" wrapText="1"/>
    </xf>
    <xf numFmtId="0" fontId="15" fillId="15" borderId="1" xfId="1" applyNumberFormat="1" applyFont="1" applyFill="1" applyBorder="1" applyAlignment="1" applyProtection="1">
      <alignment horizontal="left" vertical="top" wrapText="1"/>
      <protection locked="0"/>
    </xf>
    <xf numFmtId="0" fontId="5" fillId="15" borderId="2" xfId="1" applyNumberFormat="1" applyFont="1" applyFill="1" applyBorder="1" applyAlignment="1" applyProtection="1">
      <alignment horizontal="left" vertical="center" wrapText="1"/>
    </xf>
    <xf numFmtId="0" fontId="0" fillId="15" borderId="1" xfId="1" applyNumberFormat="1" applyFont="1" applyFill="1" applyBorder="1" applyAlignment="1" applyProtection="1">
      <alignment wrapText="1"/>
      <protection locked="0"/>
    </xf>
    <xf numFmtId="0" fontId="2" fillId="15" borderId="2" xfId="0" applyNumberFormat="1" applyFont="1" applyFill="1" applyBorder="1" applyAlignment="1" applyProtection="1">
      <alignment horizontal="right" vertical="center" wrapText="1"/>
    </xf>
    <xf numFmtId="0" fontId="2" fillId="15" borderId="2" xfId="0" applyNumberFormat="1" applyFont="1" applyFill="1" applyBorder="1" applyAlignment="1" applyProtection="1">
      <alignment horizontal="right" vertical="center" wrapText="1"/>
      <protection locked="0"/>
    </xf>
    <xf numFmtId="0" fontId="16" fillId="15" borderId="2" xfId="0" applyNumberFormat="1" applyFont="1" applyFill="1" applyBorder="1" applyAlignment="1" applyProtection="1">
      <alignment horizontal="right" vertical="top" wrapText="1"/>
    </xf>
    <xf numFmtId="0" fontId="16" fillId="15" borderId="2" xfId="0" applyNumberFormat="1" applyFont="1" applyFill="1" applyBorder="1" applyAlignment="1" applyProtection="1">
      <alignment horizontal="right" vertical="top" wrapText="1"/>
      <protection locked="0"/>
    </xf>
    <xf numFmtId="0" fontId="16" fillId="6" borderId="2" xfId="0" applyNumberFormat="1" applyFont="1" applyFill="1" applyBorder="1" applyAlignment="1" applyProtection="1">
      <alignment horizontal="left" vertical="center" wrapText="1"/>
    </xf>
    <xf numFmtId="0" fontId="16" fillId="6" borderId="2" xfId="0" applyNumberFormat="1" applyFont="1" applyFill="1" applyBorder="1" applyAlignment="1" applyProtection="1">
      <alignment horizontal="left" vertical="center" wrapText="1"/>
      <protection locked="0"/>
    </xf>
    <xf numFmtId="0" fontId="5" fillId="15" borderId="2" xfId="0" applyNumberFormat="1" applyFont="1" applyFill="1" applyBorder="1" applyAlignment="1" applyProtection="1">
      <alignment horizontal="left" vertical="center" wrapText="1"/>
    </xf>
    <xf numFmtId="0" fontId="1" fillId="15" borderId="2" xfId="0" applyNumberFormat="1" applyFont="1" applyFill="1" applyBorder="1" applyAlignment="1" applyProtection="1">
      <alignment horizontal="left" vertical="center" wrapText="1"/>
      <protection locked="0"/>
    </xf>
    <xf numFmtId="0" fontId="1" fillId="15" borderId="10" xfId="1" applyNumberFormat="1" applyFont="1" applyFill="1" applyBorder="1" applyAlignment="1" applyProtection="1">
      <alignment horizontal="left" vertical="center" wrapText="1"/>
    </xf>
    <xf numFmtId="0" fontId="1" fillId="15" borderId="10" xfId="1" applyNumberFormat="1" applyFont="1" applyFill="1" applyBorder="1" applyAlignment="1" applyProtection="1">
      <alignment horizontal="left" vertical="center" wrapText="1"/>
      <protection locked="0"/>
    </xf>
    <xf numFmtId="0" fontId="1" fillId="15" borderId="11" xfId="1" applyNumberFormat="1" applyFont="1" applyFill="1" applyBorder="1" applyAlignment="1" applyProtection="1">
      <alignment horizontal="left" vertical="center" wrapText="1"/>
      <protection locked="0"/>
    </xf>
    <xf numFmtId="4" fontId="13" fillId="17" borderId="2" xfId="1" applyNumberFormat="1" applyFont="1" applyFill="1" applyBorder="1" applyAlignment="1" applyProtection="1">
      <alignment horizontal="right" vertical="center" wrapText="1"/>
    </xf>
    <xf numFmtId="0" fontId="13" fillId="17" borderId="2" xfId="1" applyNumberFormat="1" applyFont="1" applyFill="1" applyBorder="1" applyAlignment="1" applyProtection="1">
      <alignment horizontal="right" vertical="center" wrapText="1"/>
      <protection locked="0"/>
    </xf>
    <xf numFmtId="0" fontId="27" fillId="15" borderId="2" xfId="1" applyNumberFormat="1" applyFont="1" applyFill="1" applyBorder="1" applyAlignment="1" applyProtection="1">
      <alignment horizontal="left" vertical="center" wrapText="1"/>
    </xf>
    <xf numFmtId="0" fontId="27" fillId="15" borderId="2" xfId="1" applyNumberFormat="1" applyFont="1" applyFill="1" applyBorder="1" applyAlignment="1" applyProtection="1">
      <alignment horizontal="left" vertical="center" wrapText="1"/>
      <protection locked="0"/>
    </xf>
    <xf numFmtId="0" fontId="13" fillId="15" borderId="2" xfId="1" applyNumberFormat="1" applyFont="1" applyFill="1" applyBorder="1" applyAlignment="1" applyProtection="1">
      <alignment horizontal="left" vertical="center" wrapText="1"/>
    </xf>
    <xf numFmtId="0" fontId="13" fillId="15" borderId="2" xfId="1" applyNumberFormat="1" applyFont="1" applyFill="1" applyBorder="1" applyAlignment="1" applyProtection="1">
      <alignment horizontal="left" vertical="center" wrapText="1"/>
      <protection locked="0"/>
    </xf>
    <xf numFmtId="4" fontId="13" fillId="15" borderId="2" xfId="1" applyNumberFormat="1" applyFont="1" applyFill="1" applyBorder="1" applyAlignment="1" applyProtection="1">
      <alignment horizontal="right" vertical="center" wrapText="1"/>
    </xf>
    <xf numFmtId="0" fontId="13" fillId="15" borderId="2" xfId="1" applyNumberFormat="1" applyFont="1" applyFill="1" applyBorder="1" applyAlignment="1" applyProtection="1">
      <alignment horizontal="right" vertical="center" wrapText="1"/>
      <protection locked="0"/>
    </xf>
    <xf numFmtId="4" fontId="30" fillId="15" borderId="7" xfId="1" applyNumberFormat="1" applyFont="1" applyFill="1" applyBorder="1" applyAlignment="1" applyProtection="1">
      <alignment horizontal="right" vertical="center" wrapText="1"/>
    </xf>
    <xf numFmtId="0" fontId="30" fillId="15" borderId="7" xfId="1" applyNumberFormat="1" applyFont="1" applyFill="1" applyBorder="1" applyAlignment="1" applyProtection="1">
      <alignment horizontal="right" vertical="center" wrapText="1"/>
      <protection locked="0"/>
    </xf>
    <xf numFmtId="4" fontId="18" fillId="17" borderId="14" xfId="1" applyNumberFormat="1" applyFont="1" applyFill="1" applyBorder="1" applyAlignment="1" applyProtection="1">
      <alignment horizontal="right" vertical="center" wrapText="1"/>
    </xf>
    <xf numFmtId="0" fontId="18" fillId="17" borderId="14" xfId="1" applyNumberFormat="1" applyFont="1" applyFill="1" applyBorder="1" applyAlignment="1" applyProtection="1">
      <alignment horizontal="right" vertical="center" wrapText="1"/>
      <protection locked="0"/>
    </xf>
    <xf numFmtId="4" fontId="13" fillId="17" borderId="7" xfId="1" applyNumberFormat="1" applyFont="1" applyFill="1" applyBorder="1" applyAlignment="1" applyProtection="1">
      <alignment horizontal="right" vertical="center" wrapText="1"/>
    </xf>
    <xf numFmtId="0" fontId="13" fillId="17" borderId="7" xfId="1" applyNumberFormat="1" applyFont="1" applyFill="1" applyBorder="1" applyAlignment="1" applyProtection="1">
      <alignment horizontal="right" vertical="center" wrapText="1"/>
      <protection locked="0"/>
    </xf>
    <xf numFmtId="0" fontId="26" fillId="16" borderId="6" xfId="1" applyNumberFormat="1" applyFont="1" applyFill="1" applyBorder="1" applyAlignment="1" applyProtection="1">
      <alignment horizontal="center" vertical="top" wrapText="1"/>
    </xf>
    <xf numFmtId="0" fontId="27" fillId="17" borderId="2" xfId="1" applyNumberFormat="1" applyFont="1" applyFill="1" applyBorder="1" applyAlignment="1" applyProtection="1">
      <alignment horizontal="center" vertical="center" wrapText="1"/>
    </xf>
    <xf numFmtId="0" fontId="27" fillId="17" borderId="2" xfId="1" applyNumberFormat="1" applyFont="1" applyFill="1" applyBorder="1" applyAlignment="1" applyProtection="1">
      <alignment horizontal="center" vertical="center" wrapText="1"/>
      <protection locked="0"/>
    </xf>
    <xf numFmtId="2" fontId="31" fillId="15" borderId="32" xfId="6" applyNumberFormat="1" applyFont="1" applyFill="1" applyBorder="1" applyAlignment="1" applyProtection="1">
      <alignment horizontal="center" vertical="center" wrapText="1"/>
      <protection locked="0"/>
    </xf>
    <xf numFmtId="2" fontId="31" fillId="15" borderId="33" xfId="6" applyNumberFormat="1" applyFont="1" applyFill="1" applyBorder="1" applyAlignment="1" applyProtection="1">
      <alignment horizontal="center" vertical="center" wrapText="1"/>
      <protection locked="0"/>
    </xf>
    <xf numFmtId="10" fontId="36" fillId="19" borderId="32" xfId="7" applyNumberFormat="1" applyFont="1" applyFill="1" applyBorder="1" applyAlignment="1" applyProtection="1">
      <alignment horizontal="center" vertical="center" wrapText="1"/>
      <protection locked="0"/>
    </xf>
    <xf numFmtId="10" fontId="36" fillId="19" borderId="33" xfId="7" applyNumberFormat="1" applyFont="1" applyFill="1" applyBorder="1" applyAlignment="1" applyProtection="1">
      <alignment horizontal="center" vertical="center" wrapText="1"/>
      <protection locked="0"/>
    </xf>
    <xf numFmtId="0" fontId="34" fillId="15" borderId="32" xfId="6" applyNumberFormat="1" applyFont="1" applyFill="1" applyBorder="1" applyAlignment="1" applyProtection="1">
      <alignment horizontal="center" vertical="top" wrapText="1"/>
    </xf>
    <xf numFmtId="0" fontId="34" fillId="15" borderId="38" xfId="6" applyNumberFormat="1" applyFont="1" applyFill="1" applyBorder="1" applyAlignment="1" applyProtection="1">
      <alignment horizontal="center" vertical="top" wrapText="1"/>
    </xf>
    <xf numFmtId="10" fontId="31" fillId="15" borderId="32" xfId="7" applyNumberFormat="1" applyFont="1" applyFill="1" applyBorder="1" applyAlignment="1" applyProtection="1">
      <alignment horizontal="center" vertical="center" wrapText="1"/>
      <protection locked="0"/>
    </xf>
    <xf numFmtId="10" fontId="31" fillId="15" borderId="33" xfId="7" applyNumberFormat="1" applyFont="1" applyFill="1" applyBorder="1" applyAlignment="1" applyProtection="1">
      <alignment horizontal="center" vertical="center" wrapText="1"/>
      <protection locked="0"/>
    </xf>
    <xf numFmtId="0" fontId="32" fillId="19" borderId="28" xfId="6" applyNumberFormat="1" applyFont="1" applyFill="1" applyBorder="1" applyAlignment="1" applyProtection="1">
      <alignment horizontal="center" vertical="center" wrapText="1"/>
    </xf>
    <xf numFmtId="0" fontId="32" fillId="19" borderId="29" xfId="6" applyNumberFormat="1" applyFont="1" applyFill="1" applyBorder="1" applyAlignment="1" applyProtection="1">
      <alignment horizontal="center" vertical="center" wrapText="1"/>
    </xf>
    <xf numFmtId="0" fontId="32" fillId="19" borderId="30" xfId="6" applyNumberFormat="1" applyFont="1" applyFill="1" applyBorder="1" applyAlignment="1" applyProtection="1">
      <alignment horizontal="center" vertical="center" wrapText="1"/>
    </xf>
    <xf numFmtId="0" fontId="32" fillId="19" borderId="32" xfId="6" applyNumberFormat="1" applyFont="1" applyFill="1" applyBorder="1" applyAlignment="1" applyProtection="1">
      <alignment horizontal="center" vertical="center" wrapText="1"/>
    </xf>
    <xf numFmtId="0" fontId="32" fillId="19" borderId="33" xfId="6" applyNumberFormat="1" applyFont="1" applyFill="1" applyBorder="1" applyAlignment="1" applyProtection="1">
      <alignment horizontal="center" vertical="center" wrapText="1"/>
    </xf>
    <xf numFmtId="0" fontId="33" fillId="15" borderId="32" xfId="6" applyNumberFormat="1" applyFont="1" applyFill="1" applyBorder="1" applyAlignment="1" applyProtection="1">
      <alignment horizontal="left" vertical="center" wrapText="1"/>
    </xf>
    <xf numFmtId="0" fontId="33" fillId="15" borderId="33" xfId="6" applyNumberFormat="1" applyFont="1" applyFill="1" applyBorder="1" applyAlignment="1" applyProtection="1">
      <alignment horizontal="left" vertical="center" wrapText="1"/>
    </xf>
    <xf numFmtId="10" fontId="31" fillId="15" borderId="34" xfId="7" applyNumberFormat="1" applyFont="1" applyFill="1" applyBorder="1" applyAlignment="1" applyProtection="1">
      <alignment horizontal="center" vertical="center" wrapText="1"/>
      <protection locked="0"/>
    </xf>
    <xf numFmtId="10" fontId="31" fillId="15" borderId="35" xfId="7" applyNumberFormat="1" applyFont="1" applyFill="1" applyBorder="1" applyAlignment="1" applyProtection="1">
      <alignment horizontal="center" vertical="center" wrapText="1"/>
      <protection locked="0"/>
    </xf>
    <xf numFmtId="10" fontId="31" fillId="15" borderId="36" xfId="7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 applyProtection="1">
      <alignment horizontal="justify" vertical="center" wrapText="1"/>
    </xf>
    <xf numFmtId="4" fontId="3" fillId="0" borderId="2" xfId="0" applyNumberFormat="1" applyFont="1" applyFill="1" applyBorder="1" applyAlignment="1" applyProtection="1">
      <alignment horizontal="righ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  <protection locked="0"/>
    </xf>
    <xf numFmtId="0" fontId="7" fillId="0" borderId="2" xfId="0" applyNumberFormat="1" applyFont="1" applyFill="1" applyBorder="1" applyAlignment="1" applyProtection="1">
      <alignment horizontal="justify" vertical="center" wrapText="1"/>
    </xf>
    <xf numFmtId="0" fontId="7" fillId="0" borderId="2" xfId="0" applyNumberFormat="1" applyFont="1" applyFill="1" applyBorder="1" applyAlignment="1" applyProtection="1">
      <alignment horizontal="center" vertical="center" wrapTex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justify" vertical="center" wrapText="1"/>
    </xf>
    <xf numFmtId="0" fontId="13" fillId="0" borderId="2" xfId="0" applyNumberFormat="1" applyFont="1" applyFill="1" applyBorder="1" applyAlignment="1" applyProtection="1">
      <alignment horizontal="justify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</cellXfs>
  <cellStyles count="10">
    <cellStyle name="Moeda 2" xfId="2"/>
    <cellStyle name="Moeda 2 2" xfId="4"/>
    <cellStyle name="Normal" xfId="0" builtinId="0"/>
    <cellStyle name="Normal 17" xfId="5"/>
    <cellStyle name="Normal 18" xfId="3"/>
    <cellStyle name="Normal 2" xfId="1"/>
    <cellStyle name="Normal 3" xfId="9"/>
    <cellStyle name="Normal 4" xfId="6"/>
    <cellStyle name="Normal 64" xfId="8"/>
    <cellStyle name="Porcentagem 2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10</xdr:col>
      <xdr:colOff>304800</xdr:colOff>
      <xdr:row>9</xdr:row>
      <xdr:rowOff>114300</xdr:rowOff>
    </xdr:to>
    <xdr:sp macro="" textlink="">
      <xdr:nvSpPr>
        <xdr:cNvPr id="1026" name="AutoShape 2" descr="blob:https://web.whatsapp.com/04b88a20-12e4-4e4c-8bb1-23cbb6365f8b"/>
        <xdr:cNvSpPr>
          <a:spLocks noChangeAspect="1" noChangeArrowheads="1"/>
        </xdr:cNvSpPr>
      </xdr:nvSpPr>
      <xdr:spPr bwMode="auto">
        <a:xfrm>
          <a:off x="7391400" y="13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294874</xdr:colOff>
      <xdr:row>0</xdr:row>
      <xdr:rowOff>19050</xdr:rowOff>
    </xdr:from>
    <xdr:to>
      <xdr:col>7</xdr:col>
      <xdr:colOff>1179574</xdr:colOff>
      <xdr:row>4</xdr:row>
      <xdr:rowOff>85724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4949" y="19050"/>
          <a:ext cx="1475250" cy="9048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504825</xdr:colOff>
      <xdr:row>0</xdr:row>
      <xdr:rowOff>9525</xdr:rowOff>
    </xdr:from>
    <xdr:to>
      <xdr:col>6</xdr:col>
      <xdr:colOff>646575</xdr:colOff>
      <xdr:row>3</xdr:row>
      <xdr:rowOff>266699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0" y="9525"/>
          <a:ext cx="1475250" cy="8286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100853</xdr:colOff>
      <xdr:row>0</xdr:row>
      <xdr:rowOff>22411</xdr:rowOff>
    </xdr:from>
    <xdr:to>
      <xdr:col>10</xdr:col>
      <xdr:colOff>780485</xdr:colOff>
      <xdr:row>3</xdr:row>
      <xdr:rowOff>268379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2559" y="22411"/>
          <a:ext cx="1475250" cy="8286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781050</xdr:colOff>
      <xdr:row>0</xdr:row>
      <xdr:rowOff>19050</xdr:rowOff>
    </xdr:from>
    <xdr:to>
      <xdr:col>4</xdr:col>
      <xdr:colOff>598950</xdr:colOff>
      <xdr:row>4</xdr:row>
      <xdr:rowOff>190499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7950" y="19050"/>
          <a:ext cx="1475250" cy="828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/>
  </sheetPr>
  <dimension ref="A1:L137"/>
  <sheetViews>
    <sheetView tabSelected="1" view="pageBreakPreview" zoomScaleNormal="120" zoomScaleSheetLayoutView="100" workbookViewId="0">
      <pane ySplit="7" topLeftCell="A126" activePane="bottomLeft" state="frozen"/>
      <selection pane="bottomLeft" activeCell="A6" sqref="A6:H6"/>
    </sheetView>
  </sheetViews>
  <sheetFormatPr defaultRowHeight="15"/>
  <cols>
    <col min="1" max="1" width="7.5703125" customWidth="1"/>
    <col min="2" max="2" width="8.28515625" customWidth="1"/>
    <col min="3" max="3" width="34.140625" bestFit="1"/>
    <col min="4" max="4" width="7.5703125" customWidth="1"/>
    <col min="5" max="5" width="6.7109375" customWidth="1"/>
    <col min="6" max="6" width="8.28515625" customWidth="1"/>
    <col min="7" max="8" width="10" customWidth="1"/>
  </cols>
  <sheetData>
    <row r="1" spans="1:12" ht="81.95" hidden="1" customHeight="1">
      <c r="A1" s="128"/>
      <c r="B1" s="128"/>
      <c r="C1" s="128"/>
      <c r="D1" s="128"/>
      <c r="E1" s="128"/>
      <c r="F1" s="128"/>
      <c r="G1" s="128"/>
      <c r="H1" s="128"/>
      <c r="J1" t="s">
        <v>310</v>
      </c>
    </row>
    <row r="2" spans="1:12" ht="9.9499999999999993" hidden="1" customHeight="1">
      <c r="A2" s="1"/>
      <c r="B2" s="129" t="s">
        <v>0</v>
      </c>
      <c r="C2" s="130"/>
      <c r="D2" s="130"/>
      <c r="E2" s="130"/>
      <c r="F2" s="130"/>
      <c r="G2" s="130"/>
      <c r="H2" s="1"/>
    </row>
    <row r="3" spans="1:12" s="10" customFormat="1">
      <c r="A3" s="51" t="s">
        <v>968</v>
      </c>
      <c r="B3" s="52"/>
      <c r="C3" s="52"/>
      <c r="D3" s="53"/>
      <c r="E3" s="53"/>
      <c r="F3" s="53"/>
      <c r="G3" s="59"/>
      <c r="H3" s="54"/>
      <c r="J3" s="48"/>
      <c r="K3" s="48"/>
      <c r="L3" s="48"/>
    </row>
    <row r="4" spans="1:12" s="10" customFormat="1">
      <c r="A4" s="133" t="s">
        <v>1039</v>
      </c>
      <c r="B4" s="134"/>
      <c r="C4" s="134"/>
      <c r="D4" s="48"/>
      <c r="E4" s="48"/>
      <c r="F4" s="48"/>
      <c r="G4" s="60"/>
      <c r="H4" s="55"/>
      <c r="J4" s="48"/>
      <c r="K4" s="48"/>
      <c r="L4" s="48"/>
    </row>
    <row r="5" spans="1:12" s="10" customFormat="1">
      <c r="A5" s="56" t="s">
        <v>1230</v>
      </c>
      <c r="B5" s="24"/>
      <c r="C5" s="25"/>
      <c r="D5" s="48"/>
      <c r="E5" s="48"/>
      <c r="F5" s="48"/>
      <c r="G5" s="60"/>
      <c r="H5" s="55"/>
      <c r="J5" s="48"/>
      <c r="K5" s="48"/>
      <c r="L5" s="48"/>
    </row>
    <row r="6" spans="1:12" s="10" customFormat="1" ht="21" customHeight="1">
      <c r="A6" s="135" t="s">
        <v>1013</v>
      </c>
      <c r="B6" s="136"/>
      <c r="C6" s="136"/>
      <c r="D6" s="136"/>
      <c r="E6" s="136"/>
      <c r="F6" s="136"/>
      <c r="G6" s="136"/>
      <c r="H6" s="137"/>
      <c r="I6" s="42"/>
      <c r="J6" s="46"/>
      <c r="K6" s="46"/>
      <c r="L6" s="47"/>
    </row>
    <row r="7" spans="1:12" ht="39" customHeight="1">
      <c r="A7" s="58" t="s">
        <v>1</v>
      </c>
      <c r="B7" s="58" t="s">
        <v>2</v>
      </c>
      <c r="C7" s="58" t="s">
        <v>3</v>
      </c>
      <c r="D7" s="58" t="s">
        <v>4</v>
      </c>
      <c r="E7" s="58" t="s">
        <v>5</v>
      </c>
      <c r="F7" s="58" t="s">
        <v>6</v>
      </c>
      <c r="G7" s="58" t="s">
        <v>7</v>
      </c>
      <c r="H7" s="58" t="s">
        <v>8</v>
      </c>
      <c r="J7" s="57"/>
      <c r="K7" s="57"/>
      <c r="L7" s="57"/>
    </row>
    <row r="8" spans="1:12" ht="20.100000000000001" customHeight="1">
      <c r="A8" s="2" t="s">
        <v>9</v>
      </c>
      <c r="B8" s="131" t="s">
        <v>10</v>
      </c>
      <c r="C8" s="132"/>
      <c r="D8" s="132"/>
      <c r="E8" s="132"/>
      <c r="F8" s="132"/>
      <c r="G8" s="132"/>
      <c r="H8" s="3">
        <f>SUM(H9:H13)</f>
        <v>3971.7957999999999</v>
      </c>
      <c r="J8" s="57"/>
      <c r="K8" s="57"/>
      <c r="L8" s="57"/>
    </row>
    <row r="9" spans="1:12">
      <c r="A9" s="4" t="s">
        <v>11</v>
      </c>
      <c r="B9" s="9" t="s">
        <v>12</v>
      </c>
      <c r="C9" s="205" t="s">
        <v>13</v>
      </c>
      <c r="D9" s="9" t="s">
        <v>14</v>
      </c>
      <c r="E9" s="9" t="s">
        <v>15</v>
      </c>
      <c r="F9" s="206">
        <v>2</v>
      </c>
      <c r="G9" s="206">
        <v>157.37</v>
      </c>
      <c r="H9" s="7">
        <f>G9*F9</f>
        <v>314.74</v>
      </c>
    </row>
    <row r="10" spans="1:12" ht="36">
      <c r="A10" s="4" t="s">
        <v>16</v>
      </c>
      <c r="B10" s="9" t="s">
        <v>17</v>
      </c>
      <c r="C10" s="205" t="s">
        <v>18</v>
      </c>
      <c r="D10" s="9" t="s">
        <v>19</v>
      </c>
      <c r="E10" s="9" t="s">
        <v>20</v>
      </c>
      <c r="F10" s="206">
        <v>55.6</v>
      </c>
      <c r="G10" s="206">
        <v>34.93</v>
      </c>
      <c r="H10" s="7">
        <f t="shared" ref="H10:H73" si="0">G10*F10</f>
        <v>1942.1079999999999</v>
      </c>
    </row>
    <row r="11" spans="1:12" ht="27">
      <c r="A11" s="4" t="s">
        <v>21</v>
      </c>
      <c r="B11" s="9" t="s">
        <v>22</v>
      </c>
      <c r="C11" s="205" t="s">
        <v>23</v>
      </c>
      <c r="D11" s="9" t="s">
        <v>19</v>
      </c>
      <c r="E11" s="9" t="s">
        <v>24</v>
      </c>
      <c r="F11" s="206">
        <v>14.1</v>
      </c>
      <c r="G11" s="206">
        <v>35.19</v>
      </c>
      <c r="H11" s="7">
        <f t="shared" si="0"/>
        <v>496.17899999999997</v>
      </c>
    </row>
    <row r="12" spans="1:12">
      <c r="A12" s="4" t="s">
        <v>25</v>
      </c>
      <c r="B12" s="9" t="s">
        <v>26</v>
      </c>
      <c r="C12" s="205" t="s">
        <v>27</v>
      </c>
      <c r="D12" s="9" t="s">
        <v>14</v>
      </c>
      <c r="E12" s="9" t="s">
        <v>15</v>
      </c>
      <c r="F12" s="206">
        <v>95.44</v>
      </c>
      <c r="G12" s="206">
        <v>10.5</v>
      </c>
      <c r="H12" s="7">
        <f t="shared" si="0"/>
        <v>1002.12</v>
      </c>
    </row>
    <row r="13" spans="1:12" ht="27">
      <c r="A13" s="4" t="s">
        <v>28</v>
      </c>
      <c r="B13" s="9" t="s">
        <v>29</v>
      </c>
      <c r="C13" s="205" t="s">
        <v>30</v>
      </c>
      <c r="D13" s="9" t="s">
        <v>19</v>
      </c>
      <c r="E13" s="9" t="s">
        <v>15</v>
      </c>
      <c r="F13" s="206">
        <v>95.44</v>
      </c>
      <c r="G13" s="206">
        <v>2.27</v>
      </c>
      <c r="H13" s="7">
        <f t="shared" si="0"/>
        <v>216.64879999999999</v>
      </c>
    </row>
    <row r="14" spans="1:12" ht="20.100000000000001" customHeight="1">
      <c r="A14" s="2" t="s">
        <v>31</v>
      </c>
      <c r="B14" s="207" t="s">
        <v>32</v>
      </c>
      <c r="C14" s="208"/>
      <c r="D14" s="208"/>
      <c r="E14" s="208"/>
      <c r="F14" s="208"/>
      <c r="G14" s="208"/>
      <c r="H14" s="3">
        <f>SUM(H15:H18)</f>
        <v>5474.9115999999995</v>
      </c>
    </row>
    <row r="15" spans="1:12" ht="27">
      <c r="A15" s="4" t="s">
        <v>33</v>
      </c>
      <c r="B15" s="9" t="s">
        <v>34</v>
      </c>
      <c r="C15" s="205" t="s">
        <v>35</v>
      </c>
      <c r="D15" s="9" t="s">
        <v>19</v>
      </c>
      <c r="E15" s="9" t="s">
        <v>24</v>
      </c>
      <c r="F15" s="206">
        <v>10.24</v>
      </c>
      <c r="G15" s="206">
        <v>53.24</v>
      </c>
      <c r="H15" s="7">
        <f t="shared" si="0"/>
        <v>545.17759999999998</v>
      </c>
    </row>
    <row r="16" spans="1:12">
      <c r="A16" s="4" t="s">
        <v>36</v>
      </c>
      <c r="B16" s="9" t="s">
        <v>37</v>
      </c>
      <c r="C16" s="205" t="s">
        <v>38</v>
      </c>
      <c r="D16" s="9" t="s">
        <v>14</v>
      </c>
      <c r="E16" s="9" t="s">
        <v>24</v>
      </c>
      <c r="F16" s="206">
        <v>6.14</v>
      </c>
      <c r="G16" s="206">
        <v>35.590000000000003</v>
      </c>
      <c r="H16" s="7">
        <f t="shared" si="0"/>
        <v>218.52260000000001</v>
      </c>
    </row>
    <row r="17" spans="1:9" ht="18">
      <c r="A17" s="4" t="s">
        <v>39</v>
      </c>
      <c r="B17" s="9" t="s">
        <v>40</v>
      </c>
      <c r="C17" s="205" t="s">
        <v>41</v>
      </c>
      <c r="D17" s="9" t="s">
        <v>14</v>
      </c>
      <c r="E17" s="9" t="s">
        <v>15</v>
      </c>
      <c r="F17" s="206">
        <v>169.7</v>
      </c>
      <c r="G17" s="206">
        <v>22.46</v>
      </c>
      <c r="H17" s="7">
        <f t="shared" si="0"/>
        <v>3811.462</v>
      </c>
    </row>
    <row r="18" spans="1:9" ht="18">
      <c r="A18" s="4" t="s">
        <v>42</v>
      </c>
      <c r="B18" s="9" t="s">
        <v>43</v>
      </c>
      <c r="C18" s="205" t="s">
        <v>44</v>
      </c>
      <c r="D18" s="9" t="s">
        <v>14</v>
      </c>
      <c r="E18" s="9" t="s">
        <v>24</v>
      </c>
      <c r="F18" s="206">
        <v>33.94</v>
      </c>
      <c r="G18" s="206">
        <v>26.51</v>
      </c>
      <c r="H18" s="7">
        <f t="shared" si="0"/>
        <v>899.74940000000004</v>
      </c>
    </row>
    <row r="19" spans="1:9" ht="20.100000000000001" customHeight="1">
      <c r="A19" s="2" t="s">
        <v>45</v>
      </c>
      <c r="B19" s="207" t="s">
        <v>46</v>
      </c>
      <c r="C19" s="208"/>
      <c r="D19" s="208"/>
      <c r="E19" s="208"/>
      <c r="F19" s="208"/>
      <c r="G19" s="208"/>
      <c r="H19" s="3">
        <f>SUM(H20:H31)</f>
        <v>47611.119700000003</v>
      </c>
      <c r="I19" s="3">
        <v>44025.78</v>
      </c>
    </row>
    <row r="20" spans="1:9" ht="27">
      <c r="A20" s="4" t="s">
        <v>47</v>
      </c>
      <c r="B20" s="9" t="s">
        <v>48</v>
      </c>
      <c r="C20" s="205" t="s">
        <v>49</v>
      </c>
      <c r="D20" s="9" t="s">
        <v>14</v>
      </c>
      <c r="E20" s="9" t="s">
        <v>24</v>
      </c>
      <c r="F20" s="206">
        <v>2.34</v>
      </c>
      <c r="G20" s="206">
        <v>431.62</v>
      </c>
      <c r="H20" s="7">
        <f t="shared" si="0"/>
        <v>1009.9907999999999</v>
      </c>
    </row>
    <row r="21" spans="1:9" ht="18">
      <c r="A21" s="4" t="s">
        <v>50</v>
      </c>
      <c r="B21" s="9" t="s">
        <v>51</v>
      </c>
      <c r="C21" s="205" t="s">
        <v>52</v>
      </c>
      <c r="D21" s="9" t="s">
        <v>14</v>
      </c>
      <c r="E21" s="9" t="s">
        <v>15</v>
      </c>
      <c r="F21" s="206">
        <v>1</v>
      </c>
      <c r="G21" s="206">
        <v>57.5</v>
      </c>
      <c r="H21" s="7">
        <f t="shared" si="0"/>
        <v>57.5</v>
      </c>
    </row>
    <row r="22" spans="1:9" ht="45">
      <c r="A22" s="4" t="s">
        <v>53</v>
      </c>
      <c r="B22" s="9" t="s">
        <v>54</v>
      </c>
      <c r="C22" s="205" t="s">
        <v>55</v>
      </c>
      <c r="D22" s="9" t="s">
        <v>19</v>
      </c>
      <c r="E22" s="9" t="s">
        <v>15</v>
      </c>
      <c r="F22" s="206">
        <v>134.22</v>
      </c>
      <c r="G22" s="206">
        <v>64.510000000000005</v>
      </c>
      <c r="H22" s="7">
        <f t="shared" si="0"/>
        <v>8658.5322000000015</v>
      </c>
    </row>
    <row r="23" spans="1:9" ht="18">
      <c r="A23" s="8" t="s">
        <v>56</v>
      </c>
      <c r="B23" s="9" t="s">
        <v>311</v>
      </c>
      <c r="C23" s="209" t="s">
        <v>312</v>
      </c>
      <c r="D23" s="210" t="s">
        <v>313</v>
      </c>
      <c r="E23" s="9" t="s">
        <v>24</v>
      </c>
      <c r="F23" s="206">
        <v>14.08</v>
      </c>
      <c r="G23" s="206">
        <v>451.2</v>
      </c>
      <c r="H23" s="7">
        <f t="shared" si="0"/>
        <v>6352.8959999999997</v>
      </c>
    </row>
    <row r="24" spans="1:9" ht="27">
      <c r="A24" s="4" t="s">
        <v>58</v>
      </c>
      <c r="B24" s="9" t="s">
        <v>59</v>
      </c>
      <c r="C24" s="205" t="s">
        <v>60</v>
      </c>
      <c r="D24" s="9" t="s">
        <v>19</v>
      </c>
      <c r="E24" s="9" t="s">
        <v>24</v>
      </c>
      <c r="F24" s="206">
        <v>11.95</v>
      </c>
      <c r="G24" s="206">
        <v>314.51</v>
      </c>
      <c r="H24" s="7">
        <f t="shared" si="0"/>
        <v>3758.3944999999999</v>
      </c>
    </row>
    <row r="25" spans="1:9" ht="45">
      <c r="A25" s="4" t="s">
        <v>61</v>
      </c>
      <c r="B25" s="9" t="s">
        <v>62</v>
      </c>
      <c r="C25" s="205" t="s">
        <v>63</v>
      </c>
      <c r="D25" s="9" t="s">
        <v>19</v>
      </c>
      <c r="E25" s="9" t="s">
        <v>64</v>
      </c>
      <c r="F25" s="206">
        <v>248.44</v>
      </c>
      <c r="G25" s="206">
        <v>9.75</v>
      </c>
      <c r="H25" s="7">
        <f t="shared" si="0"/>
        <v>2422.29</v>
      </c>
    </row>
    <row r="26" spans="1:9" ht="45">
      <c r="A26" s="4" t="s">
        <v>65</v>
      </c>
      <c r="B26" s="9" t="s">
        <v>66</v>
      </c>
      <c r="C26" s="205" t="s">
        <v>67</v>
      </c>
      <c r="D26" s="9" t="s">
        <v>19</v>
      </c>
      <c r="E26" s="9" t="s">
        <v>64</v>
      </c>
      <c r="F26" s="206">
        <v>891.87</v>
      </c>
      <c r="G26" s="206">
        <v>7.62</v>
      </c>
      <c r="H26" s="7">
        <f t="shared" si="0"/>
        <v>6796.0493999999999</v>
      </c>
    </row>
    <row r="27" spans="1:9" ht="18">
      <c r="A27" s="4" t="s">
        <v>68</v>
      </c>
      <c r="B27" s="9" t="s">
        <v>69</v>
      </c>
      <c r="C27" s="205" t="s">
        <v>70</v>
      </c>
      <c r="D27" s="9" t="s">
        <v>14</v>
      </c>
      <c r="E27" s="9" t="s">
        <v>15</v>
      </c>
      <c r="F27" s="206">
        <v>178.76</v>
      </c>
      <c r="G27" s="206">
        <v>98.93</v>
      </c>
      <c r="H27" s="7">
        <f t="shared" si="0"/>
        <v>17684.7268</v>
      </c>
    </row>
    <row r="28" spans="1:9" ht="18">
      <c r="A28" s="4" t="s">
        <v>71</v>
      </c>
      <c r="B28" s="9" t="s">
        <v>72</v>
      </c>
      <c r="C28" s="205" t="s">
        <v>73</v>
      </c>
      <c r="D28" s="9" t="s">
        <v>19</v>
      </c>
      <c r="E28" s="9" t="s">
        <v>20</v>
      </c>
      <c r="F28" s="206">
        <v>9.3000000000000007</v>
      </c>
      <c r="G28" s="206">
        <v>24</v>
      </c>
      <c r="H28" s="7">
        <f t="shared" si="0"/>
        <v>223.20000000000002</v>
      </c>
    </row>
    <row r="29" spans="1:9" ht="18">
      <c r="A29" s="4" t="s">
        <v>74</v>
      </c>
      <c r="B29" s="9" t="s">
        <v>75</v>
      </c>
      <c r="C29" s="205" t="s">
        <v>76</v>
      </c>
      <c r="D29" s="9" t="s">
        <v>19</v>
      </c>
      <c r="E29" s="9" t="s">
        <v>20</v>
      </c>
      <c r="F29" s="206">
        <v>14.4</v>
      </c>
      <c r="G29" s="206">
        <v>23.59</v>
      </c>
      <c r="H29" s="7">
        <f t="shared" si="0"/>
        <v>339.69600000000003</v>
      </c>
    </row>
    <row r="30" spans="1:9" ht="18">
      <c r="A30" s="4" t="s">
        <v>77</v>
      </c>
      <c r="B30" s="9" t="s">
        <v>78</v>
      </c>
      <c r="C30" s="205" t="s">
        <v>79</v>
      </c>
      <c r="D30" s="9" t="s">
        <v>19</v>
      </c>
      <c r="E30" s="9" t="s">
        <v>20</v>
      </c>
      <c r="F30" s="206">
        <v>2.8</v>
      </c>
      <c r="G30" s="206">
        <v>30.23</v>
      </c>
      <c r="H30" s="7">
        <f t="shared" si="0"/>
        <v>84.643999999999991</v>
      </c>
    </row>
    <row r="31" spans="1:9" ht="18">
      <c r="A31" s="4" t="s">
        <v>80</v>
      </c>
      <c r="B31" s="9" t="s">
        <v>72</v>
      </c>
      <c r="C31" s="205" t="s">
        <v>73</v>
      </c>
      <c r="D31" s="9" t="s">
        <v>19</v>
      </c>
      <c r="E31" s="9" t="s">
        <v>20</v>
      </c>
      <c r="F31" s="206">
        <v>9.3000000000000007</v>
      </c>
      <c r="G31" s="206">
        <v>24</v>
      </c>
      <c r="H31" s="7">
        <f t="shared" si="0"/>
        <v>223.20000000000002</v>
      </c>
    </row>
    <row r="32" spans="1:9" ht="20.100000000000001" customHeight="1">
      <c r="A32" s="2" t="s">
        <v>81</v>
      </c>
      <c r="B32" s="207" t="s">
        <v>82</v>
      </c>
      <c r="C32" s="208"/>
      <c r="D32" s="208"/>
      <c r="E32" s="208"/>
      <c r="F32" s="208"/>
      <c r="G32" s="208"/>
      <c r="H32" s="3">
        <f>SUM(H33:H35)</f>
        <v>3894.9406999999997</v>
      </c>
      <c r="I32" s="3">
        <v>3784.89</v>
      </c>
    </row>
    <row r="33" spans="1:9" ht="27">
      <c r="A33" s="4" t="s">
        <v>83</v>
      </c>
      <c r="B33" s="9" t="s">
        <v>84</v>
      </c>
      <c r="C33" s="205" t="s">
        <v>85</v>
      </c>
      <c r="D33" s="9" t="s">
        <v>19</v>
      </c>
      <c r="E33" s="9" t="s">
        <v>15</v>
      </c>
      <c r="F33" s="206">
        <v>79.88</v>
      </c>
      <c r="G33" s="206">
        <v>8.6300000000000008</v>
      </c>
      <c r="H33" s="7">
        <f t="shared" si="0"/>
        <v>689.36440000000005</v>
      </c>
    </row>
    <row r="34" spans="1:9" ht="27">
      <c r="A34" s="4" t="s">
        <v>86</v>
      </c>
      <c r="B34" s="210" t="s">
        <v>314</v>
      </c>
      <c r="C34" s="209" t="s">
        <v>315</v>
      </c>
      <c r="D34" s="210" t="s">
        <v>313</v>
      </c>
      <c r="E34" s="9" t="s">
        <v>15</v>
      </c>
      <c r="F34" s="206">
        <v>15.77</v>
      </c>
      <c r="G34" s="206">
        <v>34.19</v>
      </c>
      <c r="H34" s="7">
        <f t="shared" si="0"/>
        <v>539.17629999999997</v>
      </c>
    </row>
    <row r="35" spans="1:9" ht="27">
      <c r="A35" s="4" t="s">
        <v>87</v>
      </c>
      <c r="B35" s="210" t="s">
        <v>317</v>
      </c>
      <c r="C35" s="209" t="s">
        <v>316</v>
      </c>
      <c r="D35" s="210" t="s">
        <v>313</v>
      </c>
      <c r="E35" s="210" t="s">
        <v>318</v>
      </c>
      <c r="F35" s="206">
        <f>13.2*4</f>
        <v>52.8</v>
      </c>
      <c r="G35" s="206">
        <v>50.5</v>
      </c>
      <c r="H35" s="7">
        <f t="shared" si="0"/>
        <v>2666.3999999999996</v>
      </c>
    </row>
    <row r="36" spans="1:9" ht="20.100000000000001" customHeight="1">
      <c r="A36" s="2" t="s">
        <v>88</v>
      </c>
      <c r="B36" s="207" t="s">
        <v>89</v>
      </c>
      <c r="C36" s="208"/>
      <c r="D36" s="208"/>
      <c r="E36" s="208"/>
      <c r="F36" s="208"/>
      <c r="G36" s="208"/>
      <c r="H36" s="3">
        <f>SUM(H37)</f>
        <v>15878.484</v>
      </c>
    </row>
    <row r="37" spans="1:9" ht="54">
      <c r="A37" s="4" t="s">
        <v>90</v>
      </c>
      <c r="B37" s="9" t="s">
        <v>91</v>
      </c>
      <c r="C37" s="205" t="s">
        <v>92</v>
      </c>
      <c r="D37" s="9" t="s">
        <v>19</v>
      </c>
      <c r="E37" s="9" t="s">
        <v>15</v>
      </c>
      <c r="F37" s="206">
        <v>340.74</v>
      </c>
      <c r="G37" s="206">
        <v>46.6</v>
      </c>
      <c r="H37" s="7">
        <f t="shared" si="0"/>
        <v>15878.484</v>
      </c>
    </row>
    <row r="38" spans="1:9" ht="20.100000000000001" customHeight="1">
      <c r="A38" s="2" t="s">
        <v>93</v>
      </c>
      <c r="B38" s="207" t="s">
        <v>94</v>
      </c>
      <c r="C38" s="208"/>
      <c r="D38" s="208"/>
      <c r="E38" s="208"/>
      <c r="F38" s="208"/>
      <c r="G38" s="208"/>
      <c r="H38" s="3">
        <f>SUM(H39)</f>
        <v>90.87</v>
      </c>
    </row>
    <row r="39" spans="1:9" ht="54">
      <c r="A39" s="4" t="s">
        <v>95</v>
      </c>
      <c r="B39" s="9" t="s">
        <v>91</v>
      </c>
      <c r="C39" s="205" t="s">
        <v>92</v>
      </c>
      <c r="D39" s="9" t="s">
        <v>19</v>
      </c>
      <c r="E39" s="9" t="s">
        <v>15</v>
      </c>
      <c r="F39" s="206">
        <v>1.95</v>
      </c>
      <c r="G39" s="206">
        <v>46.6</v>
      </c>
      <c r="H39" s="7">
        <f t="shared" si="0"/>
        <v>90.87</v>
      </c>
    </row>
    <row r="40" spans="1:9" ht="20.100000000000001" customHeight="1">
      <c r="A40" s="2" t="s">
        <v>96</v>
      </c>
      <c r="B40" s="207" t="s">
        <v>97</v>
      </c>
      <c r="C40" s="208"/>
      <c r="D40" s="208"/>
      <c r="E40" s="208"/>
      <c r="F40" s="208"/>
      <c r="G40" s="208"/>
      <c r="H40" s="3">
        <f>SUM(H41)</f>
        <v>3408.3240000000001</v>
      </c>
    </row>
    <row r="41" spans="1:9" ht="54">
      <c r="A41" s="4" t="s">
        <v>98</v>
      </c>
      <c r="B41" s="9" t="s">
        <v>91</v>
      </c>
      <c r="C41" s="205" t="s">
        <v>92</v>
      </c>
      <c r="D41" s="9" t="s">
        <v>19</v>
      </c>
      <c r="E41" s="9" t="s">
        <v>15</v>
      </c>
      <c r="F41" s="206">
        <v>73.14</v>
      </c>
      <c r="G41" s="206">
        <v>46.6</v>
      </c>
      <c r="H41" s="7">
        <f t="shared" si="0"/>
        <v>3408.3240000000001</v>
      </c>
    </row>
    <row r="42" spans="1:9" ht="20.100000000000001" customHeight="1">
      <c r="A42" s="2" t="s">
        <v>99</v>
      </c>
      <c r="B42" s="207" t="s">
        <v>100</v>
      </c>
      <c r="C42" s="208"/>
      <c r="D42" s="208"/>
      <c r="E42" s="208"/>
      <c r="F42" s="208"/>
      <c r="G42" s="208"/>
      <c r="H42" s="3">
        <f>SUM(H43:H50)</f>
        <v>16349.569899999999</v>
      </c>
      <c r="I42" s="3">
        <v>17337.59</v>
      </c>
    </row>
    <row r="43" spans="1:9" ht="18">
      <c r="A43" s="4" t="s">
        <v>101</v>
      </c>
      <c r="B43" s="9">
        <v>1</v>
      </c>
      <c r="C43" s="205" t="s">
        <v>102</v>
      </c>
      <c r="D43" s="9" t="s">
        <v>103</v>
      </c>
      <c r="E43" s="9" t="s">
        <v>104</v>
      </c>
      <c r="F43" s="206">
        <v>4</v>
      </c>
      <c r="G43" s="206">
        <v>310.5</v>
      </c>
      <c r="H43" s="7">
        <f t="shared" si="0"/>
        <v>1242</v>
      </c>
    </row>
    <row r="44" spans="1:9" ht="18">
      <c r="A44" s="4" t="s">
        <v>105</v>
      </c>
      <c r="B44" s="9" t="s">
        <v>106</v>
      </c>
      <c r="C44" s="205" t="s">
        <v>107</v>
      </c>
      <c r="D44" s="9" t="s">
        <v>14</v>
      </c>
      <c r="E44" s="9" t="s">
        <v>104</v>
      </c>
      <c r="F44" s="206">
        <v>4</v>
      </c>
      <c r="G44" s="206">
        <v>290.8</v>
      </c>
      <c r="H44" s="7">
        <f t="shared" si="0"/>
        <v>1163.2</v>
      </c>
    </row>
    <row r="45" spans="1:9" ht="18">
      <c r="A45" s="4" t="s">
        <v>108</v>
      </c>
      <c r="B45" s="9" t="s">
        <v>109</v>
      </c>
      <c r="C45" s="205" t="s">
        <v>110</v>
      </c>
      <c r="D45" s="9" t="s">
        <v>14</v>
      </c>
      <c r="E45" s="9" t="s">
        <v>104</v>
      </c>
      <c r="F45" s="206">
        <v>3</v>
      </c>
      <c r="G45" s="206">
        <v>269.77999999999997</v>
      </c>
      <c r="H45" s="7">
        <f t="shared" si="0"/>
        <v>809.33999999999992</v>
      </c>
    </row>
    <row r="46" spans="1:9" ht="18">
      <c r="A46" s="4" t="s">
        <v>111</v>
      </c>
      <c r="B46" s="9" t="s">
        <v>112</v>
      </c>
      <c r="C46" s="205" t="s">
        <v>113</v>
      </c>
      <c r="D46" s="9" t="s">
        <v>14</v>
      </c>
      <c r="E46" s="9" t="s">
        <v>104</v>
      </c>
      <c r="F46" s="206">
        <v>1</v>
      </c>
      <c r="G46" s="206">
        <v>276.56</v>
      </c>
      <c r="H46" s="7">
        <f t="shared" si="0"/>
        <v>276.56</v>
      </c>
    </row>
    <row r="47" spans="1:9" ht="18">
      <c r="A47" s="4" t="s">
        <v>114</v>
      </c>
      <c r="B47" s="9" t="s">
        <v>319</v>
      </c>
      <c r="C47" s="209" t="s">
        <v>320</v>
      </c>
      <c r="D47" s="210" t="s">
        <v>313</v>
      </c>
      <c r="E47" s="210" t="s">
        <v>321</v>
      </c>
      <c r="F47" s="206">
        <v>2</v>
      </c>
      <c r="G47" s="206">
        <v>3284.78</v>
      </c>
      <c r="H47" s="7">
        <f t="shared" si="0"/>
        <v>6569.56</v>
      </c>
    </row>
    <row r="48" spans="1:9" ht="27">
      <c r="A48" s="4" t="s">
        <v>115</v>
      </c>
      <c r="B48" s="9" t="s">
        <v>116</v>
      </c>
      <c r="C48" s="205" t="s">
        <v>117</v>
      </c>
      <c r="D48" s="9" t="s">
        <v>14</v>
      </c>
      <c r="E48" s="9" t="s">
        <v>15</v>
      </c>
      <c r="F48" s="206">
        <v>13.68</v>
      </c>
      <c r="G48" s="206">
        <v>344.85</v>
      </c>
      <c r="H48" s="7">
        <f t="shared" si="0"/>
        <v>4717.5479999999998</v>
      </c>
    </row>
    <row r="49" spans="1:9" ht="18">
      <c r="A49" s="4" t="s">
        <v>118</v>
      </c>
      <c r="B49" s="210" t="s">
        <v>322</v>
      </c>
      <c r="C49" s="209" t="s">
        <v>323</v>
      </c>
      <c r="D49" s="210" t="s">
        <v>313</v>
      </c>
      <c r="E49" s="9" t="s">
        <v>15</v>
      </c>
      <c r="F49" s="206">
        <v>4.37</v>
      </c>
      <c r="G49" s="206">
        <v>300.27</v>
      </c>
      <c r="H49" s="7">
        <f t="shared" si="0"/>
        <v>1312.1798999999999</v>
      </c>
    </row>
    <row r="50" spans="1:9">
      <c r="A50" s="4" t="s">
        <v>119</v>
      </c>
      <c r="B50" s="9" t="s">
        <v>120</v>
      </c>
      <c r="C50" s="205" t="s">
        <v>121</v>
      </c>
      <c r="D50" s="9" t="s">
        <v>14</v>
      </c>
      <c r="E50" s="9" t="s">
        <v>15</v>
      </c>
      <c r="F50" s="206">
        <v>2.52</v>
      </c>
      <c r="G50" s="206">
        <v>102.85</v>
      </c>
      <c r="H50" s="7">
        <f t="shared" si="0"/>
        <v>259.18199999999996</v>
      </c>
    </row>
    <row r="51" spans="1:9" ht="20.100000000000001" customHeight="1">
      <c r="A51" s="2" t="s">
        <v>122</v>
      </c>
      <c r="B51" s="207" t="s">
        <v>123</v>
      </c>
      <c r="C51" s="208"/>
      <c r="D51" s="208"/>
      <c r="E51" s="208"/>
      <c r="F51" s="208"/>
      <c r="G51" s="208"/>
      <c r="H51" s="3">
        <f>SUM(H52:H56)</f>
        <v>25311.007179999997</v>
      </c>
      <c r="I51" s="3">
        <v>30768.28</v>
      </c>
    </row>
    <row r="52" spans="1:9" ht="18">
      <c r="A52" s="4" t="s">
        <v>124</v>
      </c>
      <c r="B52" s="9" t="s">
        <v>125</v>
      </c>
      <c r="C52" s="205" t="s">
        <v>126</v>
      </c>
      <c r="D52" s="9" t="s">
        <v>14</v>
      </c>
      <c r="E52" s="9" t="s">
        <v>15</v>
      </c>
      <c r="F52" s="206">
        <v>169.7</v>
      </c>
      <c r="G52" s="206">
        <v>120.15</v>
      </c>
      <c r="H52" s="7">
        <f t="shared" si="0"/>
        <v>20389.454999999998</v>
      </c>
    </row>
    <row r="53" spans="1:9" ht="18">
      <c r="A53" s="4" t="s">
        <v>127</v>
      </c>
      <c r="B53" s="9" t="s">
        <v>325</v>
      </c>
      <c r="C53" s="209" t="s">
        <v>324</v>
      </c>
      <c r="D53" s="210" t="s">
        <v>326</v>
      </c>
      <c r="E53" s="9" t="s">
        <v>20</v>
      </c>
      <c r="F53" s="206">
        <v>45.26</v>
      </c>
      <c r="G53" s="206">
        <v>73.150000000000006</v>
      </c>
      <c r="H53" s="7">
        <f t="shared" si="0"/>
        <v>3310.7690000000002</v>
      </c>
    </row>
    <row r="54" spans="1:9">
      <c r="A54" s="4" t="s">
        <v>128</v>
      </c>
      <c r="B54" s="210" t="s">
        <v>327</v>
      </c>
      <c r="C54" s="209" t="s">
        <v>328</v>
      </c>
      <c r="D54" s="210" t="s">
        <v>313</v>
      </c>
      <c r="E54" s="210" t="s">
        <v>318</v>
      </c>
      <c r="F54" s="206">
        <f>50.13*0.15</f>
        <v>7.5194999999999999</v>
      </c>
      <c r="G54" s="206">
        <v>86.44</v>
      </c>
      <c r="H54" s="7">
        <f t="shared" si="0"/>
        <v>649.98557999999991</v>
      </c>
    </row>
    <row r="55" spans="1:9" ht="36">
      <c r="A55" s="4" t="s">
        <v>129</v>
      </c>
      <c r="B55" s="9">
        <v>2</v>
      </c>
      <c r="C55" s="205" t="s">
        <v>130</v>
      </c>
      <c r="D55" s="9" t="s">
        <v>103</v>
      </c>
      <c r="E55" s="9" t="s">
        <v>20</v>
      </c>
      <c r="F55" s="206">
        <v>42.98</v>
      </c>
      <c r="G55" s="206">
        <v>17</v>
      </c>
      <c r="H55" s="7">
        <f t="shared" si="0"/>
        <v>730.66</v>
      </c>
    </row>
    <row r="56" spans="1:9" ht="18">
      <c r="A56" s="4" t="s">
        <v>131</v>
      </c>
      <c r="B56" s="210" t="s">
        <v>329</v>
      </c>
      <c r="C56" s="209" t="s">
        <v>330</v>
      </c>
      <c r="D56" s="9" t="s">
        <v>19</v>
      </c>
      <c r="E56" s="9" t="s">
        <v>15</v>
      </c>
      <c r="F56" s="206">
        <v>12.32</v>
      </c>
      <c r="G56" s="206">
        <v>18.68</v>
      </c>
      <c r="H56" s="7">
        <f t="shared" si="0"/>
        <v>230.13759999999999</v>
      </c>
    </row>
    <row r="57" spans="1:9" ht="20.100000000000001" customHeight="1">
      <c r="A57" s="2" t="s">
        <v>132</v>
      </c>
      <c r="B57" s="207" t="s">
        <v>133</v>
      </c>
      <c r="C57" s="208"/>
      <c r="D57" s="208"/>
      <c r="E57" s="208"/>
      <c r="F57" s="208"/>
      <c r="G57" s="208"/>
      <c r="H57" s="3">
        <f>SUM(H58:H69)</f>
        <v>52468.414800000006</v>
      </c>
      <c r="I57" s="3">
        <v>46654.06</v>
      </c>
    </row>
    <row r="58" spans="1:9" ht="36">
      <c r="A58" s="4" t="s">
        <v>134</v>
      </c>
      <c r="B58" s="9" t="s">
        <v>135</v>
      </c>
      <c r="C58" s="205" t="s">
        <v>136</v>
      </c>
      <c r="D58" s="9" t="s">
        <v>19</v>
      </c>
      <c r="E58" s="9" t="s">
        <v>15</v>
      </c>
      <c r="F58" s="206">
        <v>767.37</v>
      </c>
      <c r="G58" s="206">
        <v>2.67</v>
      </c>
      <c r="H58" s="7">
        <f t="shared" si="0"/>
        <v>2048.8779</v>
      </c>
    </row>
    <row r="59" spans="1:9" ht="63">
      <c r="A59" s="4" t="s">
        <v>137</v>
      </c>
      <c r="B59" s="9" t="s">
        <v>138</v>
      </c>
      <c r="C59" s="205" t="s">
        <v>139</v>
      </c>
      <c r="D59" s="9" t="s">
        <v>19</v>
      </c>
      <c r="E59" s="9" t="s">
        <v>15</v>
      </c>
      <c r="F59" s="206">
        <v>767.37</v>
      </c>
      <c r="G59" s="206">
        <v>14.72</v>
      </c>
      <c r="H59" s="7">
        <f t="shared" si="0"/>
        <v>11295.686400000001</v>
      </c>
    </row>
    <row r="60" spans="1:9" ht="18">
      <c r="A60" s="4" t="s">
        <v>140</v>
      </c>
      <c r="B60" s="9" t="s">
        <v>141</v>
      </c>
      <c r="C60" s="205" t="s">
        <v>142</v>
      </c>
      <c r="D60" s="9" t="s">
        <v>14</v>
      </c>
      <c r="E60" s="9" t="s">
        <v>15</v>
      </c>
      <c r="F60" s="206">
        <v>135.44999999999999</v>
      </c>
      <c r="G60" s="206">
        <v>10.26</v>
      </c>
      <c r="H60" s="7">
        <f t="shared" si="0"/>
        <v>1389.7169999999999</v>
      </c>
    </row>
    <row r="61" spans="1:9" ht="27">
      <c r="A61" s="4" t="s">
        <v>143</v>
      </c>
      <c r="B61" s="9" t="s">
        <v>144</v>
      </c>
      <c r="C61" s="205" t="s">
        <v>145</v>
      </c>
      <c r="D61" s="9" t="s">
        <v>14</v>
      </c>
      <c r="E61" s="9" t="s">
        <v>15</v>
      </c>
      <c r="F61" s="206">
        <v>135.44999999999999</v>
      </c>
      <c r="G61" s="206">
        <v>28.98</v>
      </c>
      <c r="H61" s="7">
        <f t="shared" si="0"/>
        <v>3925.3409999999999</v>
      </c>
    </row>
    <row r="62" spans="1:9" ht="18">
      <c r="A62" s="4" t="s">
        <v>146</v>
      </c>
      <c r="B62" s="9" t="s">
        <v>332</v>
      </c>
      <c r="C62" s="209" t="s">
        <v>331</v>
      </c>
      <c r="D62" s="210" t="s">
        <v>313</v>
      </c>
      <c r="E62" s="9" t="s">
        <v>15</v>
      </c>
      <c r="F62" s="206">
        <v>156.63</v>
      </c>
      <c r="G62" s="206">
        <v>102.76</v>
      </c>
      <c r="H62" s="7">
        <f t="shared" si="0"/>
        <v>16095.2988</v>
      </c>
    </row>
    <row r="63" spans="1:9" ht="18">
      <c r="A63" s="4" t="s">
        <v>147</v>
      </c>
      <c r="B63" s="9" t="s">
        <v>333</v>
      </c>
      <c r="C63" s="209" t="s">
        <v>334</v>
      </c>
      <c r="D63" s="210" t="s">
        <v>313</v>
      </c>
      <c r="E63" s="9" t="s">
        <v>15</v>
      </c>
      <c r="F63" s="206">
        <v>11.03</v>
      </c>
      <c r="G63" s="206">
        <v>119.64</v>
      </c>
      <c r="H63" s="7">
        <f t="shared" si="0"/>
        <v>1319.6291999999999</v>
      </c>
    </row>
    <row r="64" spans="1:9" ht="36">
      <c r="A64" s="4" t="s">
        <v>337</v>
      </c>
      <c r="B64" s="9" t="s">
        <v>343</v>
      </c>
      <c r="C64" s="209" t="s">
        <v>344</v>
      </c>
      <c r="D64" s="210" t="s">
        <v>313</v>
      </c>
      <c r="E64" s="9" t="s">
        <v>318</v>
      </c>
      <c r="F64" s="206">
        <f>F62+F63</f>
        <v>167.66</v>
      </c>
      <c r="G64" s="206">
        <v>7.41</v>
      </c>
      <c r="H64" s="7">
        <f t="shared" si="0"/>
        <v>1242.3606</v>
      </c>
    </row>
    <row r="65" spans="1:9" ht="18">
      <c r="A65" s="4" t="s">
        <v>338</v>
      </c>
      <c r="B65" s="9" t="s">
        <v>336</v>
      </c>
      <c r="C65" s="209" t="s">
        <v>335</v>
      </c>
      <c r="D65" s="210" t="s">
        <v>313</v>
      </c>
      <c r="E65" s="9" t="s">
        <v>15</v>
      </c>
      <c r="F65" s="206">
        <v>610.74</v>
      </c>
      <c r="G65" s="206">
        <v>12.16</v>
      </c>
      <c r="H65" s="7">
        <f t="shared" si="0"/>
        <v>7426.5983999999999</v>
      </c>
    </row>
    <row r="66" spans="1:9" ht="18">
      <c r="A66" s="4" t="s">
        <v>339</v>
      </c>
      <c r="B66" s="9" t="s">
        <v>148</v>
      </c>
      <c r="C66" s="205" t="s">
        <v>149</v>
      </c>
      <c r="D66" s="9" t="s">
        <v>57</v>
      </c>
      <c r="E66" s="9" t="s">
        <v>15</v>
      </c>
      <c r="F66" s="206">
        <v>135.44999999999999</v>
      </c>
      <c r="G66" s="206">
        <v>45.71</v>
      </c>
      <c r="H66" s="7">
        <f t="shared" si="0"/>
        <v>6191.4195</v>
      </c>
    </row>
    <row r="67" spans="1:9">
      <c r="A67" s="4" t="s">
        <v>340</v>
      </c>
      <c r="B67" s="9" t="s">
        <v>150</v>
      </c>
      <c r="C67" s="205" t="s">
        <v>151</v>
      </c>
      <c r="D67" s="9" t="s">
        <v>14</v>
      </c>
      <c r="E67" s="9" t="s">
        <v>20</v>
      </c>
      <c r="F67" s="206">
        <v>6.6</v>
      </c>
      <c r="G67" s="206">
        <v>59.96</v>
      </c>
      <c r="H67" s="7">
        <f t="shared" si="0"/>
        <v>395.73599999999999</v>
      </c>
    </row>
    <row r="68" spans="1:9">
      <c r="A68" s="4" t="s">
        <v>341</v>
      </c>
      <c r="B68" s="9" t="s">
        <v>152</v>
      </c>
      <c r="C68" s="205" t="s">
        <v>153</v>
      </c>
      <c r="D68" s="9" t="s">
        <v>14</v>
      </c>
      <c r="E68" s="9" t="s">
        <v>20</v>
      </c>
      <c r="F68" s="206">
        <v>13</v>
      </c>
      <c r="G68" s="206">
        <v>81.75</v>
      </c>
      <c r="H68" s="7">
        <f t="shared" si="0"/>
        <v>1062.75</v>
      </c>
    </row>
    <row r="69" spans="1:9" ht="18">
      <c r="A69" s="4" t="s">
        <v>342</v>
      </c>
      <c r="B69" s="9" t="s">
        <v>154</v>
      </c>
      <c r="C69" s="205" t="s">
        <v>155</v>
      </c>
      <c r="D69" s="9" t="s">
        <v>57</v>
      </c>
      <c r="E69" s="9" t="s">
        <v>15</v>
      </c>
      <c r="F69" s="206">
        <v>3.75</v>
      </c>
      <c r="G69" s="206">
        <v>20</v>
      </c>
      <c r="H69" s="7">
        <f t="shared" si="0"/>
        <v>75</v>
      </c>
    </row>
    <row r="70" spans="1:9" ht="20.100000000000001" customHeight="1">
      <c r="A70" s="2" t="s">
        <v>156</v>
      </c>
      <c r="B70" s="207" t="s">
        <v>157</v>
      </c>
      <c r="C70" s="208"/>
      <c r="D70" s="208"/>
      <c r="E70" s="208"/>
      <c r="F70" s="208"/>
      <c r="G70" s="208"/>
      <c r="H70" s="3">
        <f>SUM(H71:H75)</f>
        <v>29443.560999999998</v>
      </c>
      <c r="I70" s="3">
        <v>87513.69</v>
      </c>
    </row>
    <row r="71" spans="1:9" ht="18">
      <c r="A71" s="4" t="s">
        <v>158</v>
      </c>
      <c r="B71" s="9">
        <v>170205</v>
      </c>
      <c r="C71" s="209" t="s">
        <v>1223</v>
      </c>
      <c r="D71" s="9" t="s">
        <v>57</v>
      </c>
      <c r="E71" s="210" t="s">
        <v>318</v>
      </c>
      <c r="F71" s="206">
        <f>135.45</f>
        <v>135.44999999999999</v>
      </c>
      <c r="G71" s="206">
        <v>31.84</v>
      </c>
      <c r="H71" s="7">
        <f t="shared" si="0"/>
        <v>4312.7280000000001</v>
      </c>
    </row>
    <row r="72" spans="1:9" ht="18">
      <c r="A72" s="4" t="s">
        <v>159</v>
      </c>
      <c r="B72" s="9" t="s">
        <v>160</v>
      </c>
      <c r="C72" s="205" t="s">
        <v>161</v>
      </c>
      <c r="D72" s="9" t="s">
        <v>14</v>
      </c>
      <c r="E72" s="9" t="s">
        <v>15</v>
      </c>
      <c r="F72" s="206">
        <v>135.44999999999999</v>
      </c>
      <c r="G72" s="206">
        <v>36.47</v>
      </c>
      <c r="H72" s="7">
        <f t="shared" si="0"/>
        <v>4939.8614999999991</v>
      </c>
    </row>
    <row r="73" spans="1:9" ht="27">
      <c r="A73" s="4" t="s">
        <v>162</v>
      </c>
      <c r="B73" s="9" t="s">
        <v>163</v>
      </c>
      <c r="C73" s="205" t="s">
        <v>164</v>
      </c>
      <c r="D73" s="9" t="s">
        <v>19</v>
      </c>
      <c r="E73" s="9" t="s">
        <v>15</v>
      </c>
      <c r="F73" s="206">
        <v>67.900000000000006</v>
      </c>
      <c r="G73" s="206">
        <v>54.85</v>
      </c>
      <c r="H73" s="7">
        <f t="shared" si="0"/>
        <v>3724.3150000000005</v>
      </c>
    </row>
    <row r="74" spans="1:9" ht="18">
      <c r="A74" s="4" t="s">
        <v>165</v>
      </c>
      <c r="B74" s="211" t="s">
        <v>345</v>
      </c>
      <c r="C74" s="209" t="s">
        <v>346</v>
      </c>
      <c r="D74" s="210" t="s">
        <v>313</v>
      </c>
      <c r="E74" s="9" t="s">
        <v>15</v>
      </c>
      <c r="F74" s="206">
        <v>135.44999999999999</v>
      </c>
      <c r="G74" s="206">
        <v>114.16</v>
      </c>
      <c r="H74" s="7">
        <f t="shared" ref="H74:H134" si="1">G74*F74</f>
        <v>15462.971999999998</v>
      </c>
    </row>
    <row r="75" spans="1:9" ht="36">
      <c r="A75" s="4" t="s">
        <v>347</v>
      </c>
      <c r="B75" s="9" t="s">
        <v>343</v>
      </c>
      <c r="C75" s="209" t="s">
        <v>344</v>
      </c>
      <c r="D75" s="210" t="s">
        <v>313</v>
      </c>
      <c r="E75" s="9" t="s">
        <v>318</v>
      </c>
      <c r="F75" s="206">
        <f>F74</f>
        <v>135.44999999999999</v>
      </c>
      <c r="G75" s="206">
        <v>7.41</v>
      </c>
      <c r="H75" s="7">
        <f t="shared" si="1"/>
        <v>1003.6845</v>
      </c>
    </row>
    <row r="76" spans="1:9" ht="20.100000000000001" customHeight="1">
      <c r="A76" s="2" t="s">
        <v>166</v>
      </c>
      <c r="B76" s="207" t="s">
        <v>167</v>
      </c>
      <c r="C76" s="208"/>
      <c r="D76" s="208"/>
      <c r="E76" s="208"/>
      <c r="F76" s="208"/>
      <c r="G76" s="208"/>
      <c r="H76" s="3">
        <f>SUM(H77:H89)</f>
        <v>3035.922</v>
      </c>
      <c r="I76" s="3">
        <v>2230.6799999999998</v>
      </c>
    </row>
    <row r="77" spans="1:9">
      <c r="A77" s="4" t="s">
        <v>168</v>
      </c>
      <c r="B77" s="9" t="s">
        <v>353</v>
      </c>
      <c r="C77" s="205" t="s">
        <v>354</v>
      </c>
      <c r="D77" s="9" t="s">
        <v>313</v>
      </c>
      <c r="E77" s="9" t="s">
        <v>348</v>
      </c>
      <c r="F77" s="206">
        <v>59</v>
      </c>
      <c r="G77" s="206">
        <v>6.26</v>
      </c>
      <c r="H77" s="7">
        <f t="shared" si="1"/>
        <v>369.34</v>
      </c>
    </row>
    <row r="78" spans="1:9">
      <c r="A78" s="4" t="s">
        <v>169</v>
      </c>
      <c r="B78" s="9" t="s">
        <v>351</v>
      </c>
      <c r="C78" s="205" t="s">
        <v>352</v>
      </c>
      <c r="D78" s="9" t="s">
        <v>313</v>
      </c>
      <c r="E78" s="9" t="s">
        <v>348</v>
      </c>
      <c r="F78" s="206">
        <v>62.4</v>
      </c>
      <c r="G78" s="206">
        <v>9.5299999999999994</v>
      </c>
      <c r="H78" s="7">
        <f t="shared" si="1"/>
        <v>594.67199999999991</v>
      </c>
    </row>
    <row r="79" spans="1:9" ht="15" customHeight="1">
      <c r="A79" s="4" t="s">
        <v>170</v>
      </c>
      <c r="B79" s="9" t="s">
        <v>349</v>
      </c>
      <c r="C79" s="205" t="s">
        <v>350</v>
      </c>
      <c r="D79" s="9" t="s">
        <v>313</v>
      </c>
      <c r="E79" s="9" t="s">
        <v>348</v>
      </c>
      <c r="F79" s="206">
        <v>22</v>
      </c>
      <c r="G79" s="206">
        <v>14.2</v>
      </c>
      <c r="H79" s="7">
        <f t="shared" si="1"/>
        <v>312.39999999999998</v>
      </c>
    </row>
    <row r="80" spans="1:9" ht="36">
      <c r="A80" s="4" t="s">
        <v>171</v>
      </c>
      <c r="B80" s="9" t="s">
        <v>172</v>
      </c>
      <c r="C80" s="205" t="s">
        <v>173</v>
      </c>
      <c r="D80" s="9" t="s">
        <v>19</v>
      </c>
      <c r="E80" s="9" t="s">
        <v>104</v>
      </c>
      <c r="F80" s="206">
        <v>12</v>
      </c>
      <c r="G80" s="206">
        <v>14.72</v>
      </c>
      <c r="H80" s="7">
        <f t="shared" si="1"/>
        <v>176.64000000000001</v>
      </c>
    </row>
    <row r="81" spans="1:9" ht="36">
      <c r="A81" s="4" t="s">
        <v>174</v>
      </c>
      <c r="B81" s="9" t="s">
        <v>175</v>
      </c>
      <c r="C81" s="205" t="s">
        <v>176</v>
      </c>
      <c r="D81" s="9" t="s">
        <v>19</v>
      </c>
      <c r="E81" s="9" t="s">
        <v>104</v>
      </c>
      <c r="F81" s="206">
        <v>12</v>
      </c>
      <c r="G81" s="206">
        <v>10.26</v>
      </c>
      <c r="H81" s="7">
        <f t="shared" si="1"/>
        <v>123.12</v>
      </c>
    </row>
    <row r="82" spans="1:9" ht="27">
      <c r="A82" s="4" t="s">
        <v>177</v>
      </c>
      <c r="B82" s="9">
        <v>89367</v>
      </c>
      <c r="C82" s="212" t="s">
        <v>356</v>
      </c>
      <c r="D82" s="9" t="s">
        <v>19</v>
      </c>
      <c r="E82" s="9" t="s">
        <v>104</v>
      </c>
      <c r="F82" s="206">
        <v>12</v>
      </c>
      <c r="G82" s="206">
        <v>7.83</v>
      </c>
      <c r="H82" s="7">
        <f t="shared" si="1"/>
        <v>93.960000000000008</v>
      </c>
    </row>
    <row r="83" spans="1:9" ht="27">
      <c r="A83" s="4" t="s">
        <v>178</v>
      </c>
      <c r="B83" s="9">
        <v>89497</v>
      </c>
      <c r="C83" s="213" t="s">
        <v>357</v>
      </c>
      <c r="D83" s="9" t="s">
        <v>326</v>
      </c>
      <c r="E83" s="9" t="s">
        <v>104</v>
      </c>
      <c r="F83" s="206">
        <v>2</v>
      </c>
      <c r="G83" s="206">
        <v>7.25</v>
      </c>
      <c r="H83" s="7">
        <f t="shared" si="1"/>
        <v>14.5</v>
      </c>
    </row>
    <row r="84" spans="1:9" ht="27">
      <c r="A84" s="4" t="s">
        <v>179</v>
      </c>
      <c r="B84" s="9">
        <v>89362</v>
      </c>
      <c r="C84" s="212" t="s">
        <v>355</v>
      </c>
      <c r="D84" s="9" t="s">
        <v>19</v>
      </c>
      <c r="E84" s="9" t="s">
        <v>104</v>
      </c>
      <c r="F84" s="206">
        <v>15</v>
      </c>
      <c r="G84" s="206">
        <v>5.74</v>
      </c>
      <c r="H84" s="7">
        <f t="shared" si="1"/>
        <v>86.100000000000009</v>
      </c>
    </row>
    <row r="85" spans="1:9" ht="18">
      <c r="A85" s="4" t="s">
        <v>180</v>
      </c>
      <c r="B85" s="9" t="s">
        <v>181</v>
      </c>
      <c r="C85" s="205" t="s">
        <v>182</v>
      </c>
      <c r="D85" s="9" t="s">
        <v>14</v>
      </c>
      <c r="E85" s="9" t="s">
        <v>104</v>
      </c>
      <c r="F85" s="206">
        <v>11</v>
      </c>
      <c r="G85" s="206">
        <v>82.95</v>
      </c>
      <c r="H85" s="7">
        <f t="shared" si="1"/>
        <v>912.45</v>
      </c>
    </row>
    <row r="86" spans="1:9" ht="45">
      <c r="A86" s="4" t="s">
        <v>183</v>
      </c>
      <c r="B86" s="9" t="s">
        <v>184</v>
      </c>
      <c r="C86" s="205" t="s">
        <v>185</v>
      </c>
      <c r="D86" s="9" t="s">
        <v>19</v>
      </c>
      <c r="E86" s="9" t="s">
        <v>104</v>
      </c>
      <c r="F86" s="206">
        <v>1</v>
      </c>
      <c r="G86" s="206">
        <v>148.59</v>
      </c>
      <c r="H86" s="7">
        <f t="shared" si="1"/>
        <v>148.59</v>
      </c>
    </row>
    <row r="87" spans="1:9">
      <c r="A87" s="4" t="s">
        <v>186</v>
      </c>
      <c r="B87" s="9" t="s">
        <v>187</v>
      </c>
      <c r="C87" s="205" t="s">
        <v>188</v>
      </c>
      <c r="D87" s="9" t="s">
        <v>14</v>
      </c>
      <c r="E87" s="9" t="s">
        <v>104</v>
      </c>
      <c r="F87" s="206">
        <v>1</v>
      </c>
      <c r="G87" s="206">
        <v>83.38</v>
      </c>
      <c r="H87" s="7">
        <f t="shared" si="1"/>
        <v>83.38</v>
      </c>
    </row>
    <row r="88" spans="1:9" ht="27">
      <c r="A88" s="4" t="s">
        <v>189</v>
      </c>
      <c r="B88" s="9">
        <v>94796</v>
      </c>
      <c r="C88" s="212" t="s">
        <v>358</v>
      </c>
      <c r="D88" s="9" t="s">
        <v>19</v>
      </c>
      <c r="E88" s="9" t="s">
        <v>104</v>
      </c>
      <c r="F88" s="206">
        <v>1</v>
      </c>
      <c r="G88" s="206">
        <v>19.239999999999998</v>
      </c>
      <c r="H88" s="7">
        <f t="shared" si="1"/>
        <v>19.239999999999998</v>
      </c>
    </row>
    <row r="89" spans="1:9">
      <c r="A89" s="4" t="s">
        <v>190</v>
      </c>
      <c r="B89" s="214" t="s">
        <v>359</v>
      </c>
      <c r="C89" s="212" t="s">
        <v>360</v>
      </c>
      <c r="D89" s="214" t="s">
        <v>313</v>
      </c>
      <c r="E89" s="9" t="s">
        <v>104</v>
      </c>
      <c r="F89" s="206">
        <v>13</v>
      </c>
      <c r="G89" s="206">
        <v>7.81</v>
      </c>
      <c r="H89" s="7">
        <f t="shared" si="1"/>
        <v>101.53</v>
      </c>
    </row>
    <row r="90" spans="1:9" ht="20.100000000000001" customHeight="1">
      <c r="A90" s="2" t="s">
        <v>191</v>
      </c>
      <c r="B90" s="207" t="s">
        <v>192</v>
      </c>
      <c r="C90" s="208"/>
      <c r="D90" s="208"/>
      <c r="E90" s="208"/>
      <c r="F90" s="208"/>
      <c r="G90" s="208"/>
      <c r="H90" s="3">
        <f>SUM(H91:H104)</f>
        <v>7282.7964000000011</v>
      </c>
      <c r="I90" s="3">
        <v>5277.62</v>
      </c>
    </row>
    <row r="91" spans="1:9" ht="27">
      <c r="A91" s="4" t="s">
        <v>193</v>
      </c>
      <c r="B91" s="9" t="s">
        <v>194</v>
      </c>
      <c r="C91" s="205" t="s">
        <v>195</v>
      </c>
      <c r="D91" s="9" t="s">
        <v>19</v>
      </c>
      <c r="E91" s="9" t="s">
        <v>20</v>
      </c>
      <c r="F91" s="206">
        <v>15</v>
      </c>
      <c r="G91" s="206">
        <v>41.11</v>
      </c>
      <c r="H91" s="7">
        <f t="shared" si="1"/>
        <v>616.65</v>
      </c>
    </row>
    <row r="92" spans="1:9" ht="18">
      <c r="A92" s="4" t="s">
        <v>196</v>
      </c>
      <c r="B92" s="9" t="s">
        <v>197</v>
      </c>
      <c r="C92" s="205" t="s">
        <v>198</v>
      </c>
      <c r="D92" s="9" t="s">
        <v>14</v>
      </c>
      <c r="E92" s="9" t="s">
        <v>24</v>
      </c>
      <c r="F92" s="206">
        <v>5</v>
      </c>
      <c r="G92" s="206">
        <v>450.08</v>
      </c>
      <c r="H92" s="7">
        <f t="shared" si="1"/>
        <v>2250.4</v>
      </c>
    </row>
    <row r="93" spans="1:9">
      <c r="A93" s="4" t="s">
        <v>199</v>
      </c>
      <c r="B93" s="9" t="s">
        <v>361</v>
      </c>
      <c r="C93" s="212" t="s">
        <v>362</v>
      </c>
      <c r="D93" s="214" t="s">
        <v>313</v>
      </c>
      <c r="E93" s="9" t="s">
        <v>20</v>
      </c>
      <c r="F93" s="206">
        <v>107</v>
      </c>
      <c r="G93" s="206">
        <v>27.82</v>
      </c>
      <c r="H93" s="7">
        <f t="shared" si="1"/>
        <v>2976.7400000000002</v>
      </c>
    </row>
    <row r="94" spans="1:9" ht="36">
      <c r="A94" s="4" t="s">
        <v>200</v>
      </c>
      <c r="B94" s="9" t="s">
        <v>201</v>
      </c>
      <c r="C94" s="205" t="s">
        <v>202</v>
      </c>
      <c r="D94" s="9" t="s">
        <v>19</v>
      </c>
      <c r="E94" s="9" t="s">
        <v>20</v>
      </c>
      <c r="F94" s="206">
        <v>10.28</v>
      </c>
      <c r="G94" s="206">
        <v>12.92</v>
      </c>
      <c r="H94" s="7">
        <f t="shared" si="1"/>
        <v>132.8176</v>
      </c>
    </row>
    <row r="95" spans="1:9" ht="36">
      <c r="A95" s="4" t="s">
        <v>203</v>
      </c>
      <c r="B95" s="9" t="s">
        <v>204</v>
      </c>
      <c r="C95" s="205" t="s">
        <v>205</v>
      </c>
      <c r="D95" s="9" t="s">
        <v>19</v>
      </c>
      <c r="E95" s="9" t="s">
        <v>20</v>
      </c>
      <c r="F95" s="206">
        <v>21.16</v>
      </c>
      <c r="G95" s="206">
        <v>7.68</v>
      </c>
      <c r="H95" s="7">
        <f t="shared" si="1"/>
        <v>162.50880000000001</v>
      </c>
    </row>
    <row r="96" spans="1:9" ht="18">
      <c r="A96" s="4" t="s">
        <v>206</v>
      </c>
      <c r="B96" s="9" t="s">
        <v>207</v>
      </c>
      <c r="C96" s="205" t="s">
        <v>208</v>
      </c>
      <c r="D96" s="9" t="s">
        <v>14</v>
      </c>
      <c r="E96" s="9" t="s">
        <v>104</v>
      </c>
      <c r="F96" s="206">
        <v>6</v>
      </c>
      <c r="G96" s="206">
        <v>32.03</v>
      </c>
      <c r="H96" s="7">
        <f t="shared" si="1"/>
        <v>192.18</v>
      </c>
    </row>
    <row r="97" spans="1:9" ht="18">
      <c r="A97" s="4" t="s">
        <v>209</v>
      </c>
      <c r="B97" s="9" t="s">
        <v>210</v>
      </c>
      <c r="C97" s="205" t="s">
        <v>211</v>
      </c>
      <c r="D97" s="9" t="s">
        <v>14</v>
      </c>
      <c r="E97" s="9" t="s">
        <v>104</v>
      </c>
      <c r="F97" s="206">
        <v>1</v>
      </c>
      <c r="G97" s="206">
        <v>35.950000000000003</v>
      </c>
      <c r="H97" s="7">
        <f t="shared" si="1"/>
        <v>35.950000000000003</v>
      </c>
    </row>
    <row r="98" spans="1:9" ht="36">
      <c r="A98" s="4" t="s">
        <v>212</v>
      </c>
      <c r="B98" s="9" t="s">
        <v>213</v>
      </c>
      <c r="C98" s="205" t="s">
        <v>214</v>
      </c>
      <c r="D98" s="9" t="s">
        <v>19</v>
      </c>
      <c r="E98" s="9" t="s">
        <v>104</v>
      </c>
      <c r="F98" s="206">
        <v>15</v>
      </c>
      <c r="G98" s="206">
        <v>10.67</v>
      </c>
      <c r="H98" s="7">
        <f t="shared" si="1"/>
        <v>160.05000000000001</v>
      </c>
    </row>
    <row r="99" spans="1:9" ht="45">
      <c r="A99" s="4" t="s">
        <v>215</v>
      </c>
      <c r="B99" s="9" t="s">
        <v>216</v>
      </c>
      <c r="C99" s="205" t="s">
        <v>217</v>
      </c>
      <c r="D99" s="9" t="s">
        <v>19</v>
      </c>
      <c r="E99" s="9" t="s">
        <v>104</v>
      </c>
      <c r="F99" s="206">
        <v>12</v>
      </c>
      <c r="G99" s="206">
        <v>6.22</v>
      </c>
      <c r="H99" s="7">
        <f t="shared" si="1"/>
        <v>74.64</v>
      </c>
    </row>
    <row r="100" spans="1:9" ht="36">
      <c r="A100" s="4" t="s">
        <v>218</v>
      </c>
      <c r="B100" s="9" t="s">
        <v>219</v>
      </c>
      <c r="C100" s="205" t="s">
        <v>220</v>
      </c>
      <c r="D100" s="9" t="s">
        <v>19</v>
      </c>
      <c r="E100" s="9" t="s">
        <v>104</v>
      </c>
      <c r="F100" s="206">
        <v>11</v>
      </c>
      <c r="G100" s="206">
        <v>11.99</v>
      </c>
      <c r="H100" s="7">
        <f t="shared" si="1"/>
        <v>131.89000000000001</v>
      </c>
    </row>
    <row r="101" spans="1:9" ht="36">
      <c r="A101" s="4" t="s">
        <v>221</v>
      </c>
      <c r="B101" s="9" t="s">
        <v>222</v>
      </c>
      <c r="C101" s="205" t="s">
        <v>223</v>
      </c>
      <c r="D101" s="9" t="s">
        <v>19</v>
      </c>
      <c r="E101" s="9" t="s">
        <v>104</v>
      </c>
      <c r="F101" s="206">
        <v>5</v>
      </c>
      <c r="G101" s="206">
        <v>4.46</v>
      </c>
      <c r="H101" s="7">
        <f t="shared" si="1"/>
        <v>22.3</v>
      </c>
    </row>
    <row r="102" spans="1:9" ht="18">
      <c r="A102" s="4" t="s">
        <v>224</v>
      </c>
      <c r="B102" s="9" t="s">
        <v>225</v>
      </c>
      <c r="C102" s="205" t="s">
        <v>226</v>
      </c>
      <c r="D102" s="9" t="s">
        <v>14</v>
      </c>
      <c r="E102" s="9" t="s">
        <v>104</v>
      </c>
      <c r="F102" s="206">
        <v>7</v>
      </c>
      <c r="G102" s="206">
        <v>37.67</v>
      </c>
      <c r="H102" s="7">
        <f t="shared" si="1"/>
        <v>263.69</v>
      </c>
    </row>
    <row r="103" spans="1:9" ht="27">
      <c r="A103" s="4" t="s">
        <v>227</v>
      </c>
      <c r="B103" s="9" t="s">
        <v>228</v>
      </c>
      <c r="C103" s="205" t="s">
        <v>229</v>
      </c>
      <c r="D103" s="9" t="s">
        <v>14</v>
      </c>
      <c r="E103" s="9" t="s">
        <v>104</v>
      </c>
      <c r="F103" s="206">
        <v>4</v>
      </c>
      <c r="G103" s="206">
        <v>27.27</v>
      </c>
      <c r="H103" s="7">
        <f t="shared" si="1"/>
        <v>109.08</v>
      </c>
    </row>
    <row r="104" spans="1:9" ht="18">
      <c r="A104" s="4" t="s">
        <v>230</v>
      </c>
      <c r="B104" s="9" t="s">
        <v>231</v>
      </c>
      <c r="C104" s="205" t="s">
        <v>232</v>
      </c>
      <c r="D104" s="9" t="s">
        <v>14</v>
      </c>
      <c r="E104" s="9" t="s">
        <v>104</v>
      </c>
      <c r="F104" s="206">
        <v>5</v>
      </c>
      <c r="G104" s="206">
        <v>30.78</v>
      </c>
      <c r="H104" s="7">
        <f t="shared" si="1"/>
        <v>153.9</v>
      </c>
    </row>
    <row r="105" spans="1:9" ht="20.100000000000001" customHeight="1">
      <c r="A105" s="2" t="s">
        <v>233</v>
      </c>
      <c r="B105" s="207" t="s">
        <v>234</v>
      </c>
      <c r="C105" s="208"/>
      <c r="D105" s="208"/>
      <c r="E105" s="208"/>
      <c r="F105" s="208"/>
      <c r="G105" s="208"/>
      <c r="H105" s="3">
        <f>SUM(H106:H119)</f>
        <v>27659.504999999997</v>
      </c>
      <c r="I105" s="3">
        <v>25918.73</v>
      </c>
    </row>
    <row r="106" spans="1:9" ht="18">
      <c r="A106" s="4" t="s">
        <v>235</v>
      </c>
      <c r="B106" s="214" t="s">
        <v>363</v>
      </c>
      <c r="C106" s="212" t="s">
        <v>364</v>
      </c>
      <c r="D106" s="214" t="s">
        <v>313</v>
      </c>
      <c r="E106" s="9" t="s">
        <v>104</v>
      </c>
      <c r="F106" s="206">
        <v>3</v>
      </c>
      <c r="G106" s="206">
        <v>214.84</v>
      </c>
      <c r="H106" s="7">
        <f t="shared" si="1"/>
        <v>644.52</v>
      </c>
    </row>
    <row r="107" spans="1:9" ht="36">
      <c r="A107" s="4" t="s">
        <v>236</v>
      </c>
      <c r="B107" s="9" t="s">
        <v>237</v>
      </c>
      <c r="C107" s="205" t="s">
        <v>238</v>
      </c>
      <c r="D107" s="9" t="s">
        <v>19</v>
      </c>
      <c r="E107" s="9" t="s">
        <v>20</v>
      </c>
      <c r="F107" s="206">
        <v>121.95</v>
      </c>
      <c r="G107" s="206">
        <v>6.5</v>
      </c>
      <c r="H107" s="7">
        <f t="shared" si="1"/>
        <v>792.67500000000007</v>
      </c>
    </row>
    <row r="108" spans="1:9" ht="36">
      <c r="A108" s="4" t="s">
        <v>239</v>
      </c>
      <c r="B108" s="9" t="s">
        <v>240</v>
      </c>
      <c r="C108" s="205" t="s">
        <v>241</v>
      </c>
      <c r="D108" s="9" t="s">
        <v>19</v>
      </c>
      <c r="E108" s="9" t="s">
        <v>20</v>
      </c>
      <c r="F108" s="206">
        <v>120</v>
      </c>
      <c r="G108" s="206">
        <v>6.14</v>
      </c>
      <c r="H108" s="7">
        <f t="shared" si="1"/>
        <v>736.8</v>
      </c>
    </row>
    <row r="109" spans="1:9" ht="36">
      <c r="A109" s="4" t="s">
        <v>242</v>
      </c>
      <c r="B109" s="9" t="s">
        <v>243</v>
      </c>
      <c r="C109" s="205" t="s">
        <v>244</v>
      </c>
      <c r="D109" s="9" t="s">
        <v>19</v>
      </c>
      <c r="E109" s="9" t="s">
        <v>20</v>
      </c>
      <c r="F109" s="206">
        <v>9</v>
      </c>
      <c r="G109" s="206">
        <v>12.08</v>
      </c>
      <c r="H109" s="7">
        <f t="shared" si="1"/>
        <v>108.72</v>
      </c>
    </row>
    <row r="110" spans="1:9" ht="18">
      <c r="A110" s="4" t="s">
        <v>245</v>
      </c>
      <c r="B110" s="9" t="s">
        <v>246</v>
      </c>
      <c r="C110" s="205" t="s">
        <v>247</v>
      </c>
      <c r="D110" s="9" t="s">
        <v>14</v>
      </c>
      <c r="E110" s="9" t="s">
        <v>104</v>
      </c>
      <c r="F110" s="206">
        <v>45</v>
      </c>
      <c r="G110" s="206">
        <v>5.09</v>
      </c>
      <c r="H110" s="7">
        <f t="shared" si="1"/>
        <v>229.04999999999998</v>
      </c>
    </row>
    <row r="111" spans="1:9" ht="18">
      <c r="A111" s="4" t="s">
        <v>248</v>
      </c>
      <c r="B111" s="9" t="s">
        <v>249</v>
      </c>
      <c r="C111" s="205" t="s">
        <v>250</v>
      </c>
      <c r="D111" s="9" t="s">
        <v>14</v>
      </c>
      <c r="E111" s="9" t="s">
        <v>104</v>
      </c>
      <c r="F111" s="206">
        <v>1</v>
      </c>
      <c r="G111" s="206">
        <v>1947.71</v>
      </c>
      <c r="H111" s="7">
        <f t="shared" si="1"/>
        <v>1947.71</v>
      </c>
    </row>
    <row r="112" spans="1:9" ht="27">
      <c r="A112" s="4" t="s">
        <v>251</v>
      </c>
      <c r="B112" s="9" t="s">
        <v>252</v>
      </c>
      <c r="C112" s="205" t="s">
        <v>253</v>
      </c>
      <c r="D112" s="9" t="s">
        <v>19</v>
      </c>
      <c r="E112" s="9" t="s">
        <v>104</v>
      </c>
      <c r="F112" s="206">
        <v>19</v>
      </c>
      <c r="G112" s="206">
        <v>11.44</v>
      </c>
      <c r="H112" s="7">
        <f t="shared" si="1"/>
        <v>217.35999999999999</v>
      </c>
    </row>
    <row r="113" spans="1:8" ht="27">
      <c r="A113" s="4" t="s">
        <v>254</v>
      </c>
      <c r="B113" s="9" t="s">
        <v>255</v>
      </c>
      <c r="C113" s="205" t="s">
        <v>256</v>
      </c>
      <c r="D113" s="9" t="s">
        <v>19</v>
      </c>
      <c r="E113" s="9" t="s">
        <v>104</v>
      </c>
      <c r="F113" s="206">
        <v>75</v>
      </c>
      <c r="G113" s="206">
        <v>19.760000000000002</v>
      </c>
      <c r="H113" s="7">
        <f t="shared" si="1"/>
        <v>1482.0000000000002</v>
      </c>
    </row>
    <row r="114" spans="1:8" ht="27">
      <c r="A114" s="4" t="s">
        <v>257</v>
      </c>
      <c r="B114" s="9" t="s">
        <v>258</v>
      </c>
      <c r="C114" s="205" t="s">
        <v>259</v>
      </c>
      <c r="D114" s="9" t="s">
        <v>19</v>
      </c>
      <c r="E114" s="9" t="s">
        <v>104</v>
      </c>
      <c r="F114" s="206">
        <v>15</v>
      </c>
      <c r="G114" s="206">
        <v>32.979999999999997</v>
      </c>
      <c r="H114" s="7">
        <f t="shared" si="1"/>
        <v>494.69999999999993</v>
      </c>
    </row>
    <row r="115" spans="1:8" ht="36">
      <c r="A115" s="4" t="s">
        <v>260</v>
      </c>
      <c r="B115" s="9" t="s">
        <v>261</v>
      </c>
      <c r="C115" s="205" t="s">
        <v>262</v>
      </c>
      <c r="D115" s="9" t="s">
        <v>19</v>
      </c>
      <c r="E115" s="9" t="s">
        <v>20</v>
      </c>
      <c r="F115" s="206">
        <v>1250</v>
      </c>
      <c r="G115" s="206">
        <v>2.39</v>
      </c>
      <c r="H115" s="7">
        <f t="shared" si="1"/>
        <v>2987.5</v>
      </c>
    </row>
    <row r="116" spans="1:8" ht="27">
      <c r="A116" s="4" t="s">
        <v>263</v>
      </c>
      <c r="B116" s="9" t="s">
        <v>264</v>
      </c>
      <c r="C116" s="205" t="s">
        <v>265</v>
      </c>
      <c r="D116" s="9" t="s">
        <v>19</v>
      </c>
      <c r="E116" s="9" t="s">
        <v>20</v>
      </c>
      <c r="F116" s="206">
        <v>45</v>
      </c>
      <c r="G116" s="206">
        <v>15.38</v>
      </c>
      <c r="H116" s="7">
        <f t="shared" si="1"/>
        <v>692.1</v>
      </c>
    </row>
    <row r="117" spans="1:8" ht="63">
      <c r="A117" s="4" t="s">
        <v>266</v>
      </c>
      <c r="B117" s="9" t="s">
        <v>267</v>
      </c>
      <c r="C117" s="205" t="s">
        <v>268</v>
      </c>
      <c r="D117" s="9" t="s">
        <v>14</v>
      </c>
      <c r="E117" s="9" t="s">
        <v>104</v>
      </c>
      <c r="F117" s="206">
        <v>10</v>
      </c>
      <c r="G117" s="206">
        <v>151.66999999999999</v>
      </c>
      <c r="H117" s="7">
        <f t="shared" si="1"/>
        <v>1516.6999999999998</v>
      </c>
    </row>
    <row r="118" spans="1:8" ht="54">
      <c r="A118" s="4" t="s">
        <v>269</v>
      </c>
      <c r="B118" s="214" t="s">
        <v>365</v>
      </c>
      <c r="C118" s="212" t="s">
        <v>366</v>
      </c>
      <c r="D118" s="9" t="s">
        <v>14</v>
      </c>
      <c r="E118" s="9" t="s">
        <v>104</v>
      </c>
      <c r="F118" s="206">
        <v>27</v>
      </c>
      <c r="G118" s="206">
        <v>483.89</v>
      </c>
      <c r="H118" s="7">
        <f t="shared" si="1"/>
        <v>13065.029999999999</v>
      </c>
    </row>
    <row r="119" spans="1:8" ht="36">
      <c r="A119" s="4" t="s">
        <v>270</v>
      </c>
      <c r="B119" s="9" t="s">
        <v>271</v>
      </c>
      <c r="C119" s="205" t="s">
        <v>272</v>
      </c>
      <c r="D119" s="9" t="s">
        <v>14</v>
      </c>
      <c r="E119" s="9" t="s">
        <v>104</v>
      </c>
      <c r="F119" s="206">
        <v>16</v>
      </c>
      <c r="G119" s="206">
        <v>171.54</v>
      </c>
      <c r="H119" s="7">
        <f t="shared" si="1"/>
        <v>2744.64</v>
      </c>
    </row>
    <row r="120" spans="1:8" ht="20.100000000000001" customHeight="1">
      <c r="A120" s="2" t="s">
        <v>273</v>
      </c>
      <c r="B120" s="207" t="s">
        <v>274</v>
      </c>
      <c r="C120" s="208"/>
      <c r="D120" s="208"/>
      <c r="E120" s="208"/>
      <c r="F120" s="208"/>
      <c r="G120" s="208"/>
      <c r="H120" s="3">
        <f>SUM(H121:H132)</f>
        <v>9877.4930747774579</v>
      </c>
    </row>
    <row r="121" spans="1:8" ht="18">
      <c r="A121" s="4" t="s">
        <v>275</v>
      </c>
      <c r="B121" s="9" t="s">
        <v>276</v>
      </c>
      <c r="C121" s="205" t="s">
        <v>277</v>
      </c>
      <c r="D121" s="9" t="s">
        <v>14</v>
      </c>
      <c r="E121" s="9" t="s">
        <v>15</v>
      </c>
      <c r="F121" s="206">
        <v>8</v>
      </c>
      <c r="G121" s="206">
        <v>392.13</v>
      </c>
      <c r="H121" s="7">
        <f t="shared" si="1"/>
        <v>3137.04</v>
      </c>
    </row>
    <row r="122" spans="1:8" ht="18">
      <c r="A122" s="4" t="s">
        <v>278</v>
      </c>
      <c r="B122" s="9" t="s">
        <v>279</v>
      </c>
      <c r="C122" s="205" t="s">
        <v>280</v>
      </c>
      <c r="D122" s="9" t="s">
        <v>57</v>
      </c>
      <c r="E122" s="9" t="s">
        <v>104</v>
      </c>
      <c r="F122" s="206">
        <v>4</v>
      </c>
      <c r="G122" s="206">
        <v>539.97</v>
      </c>
      <c r="H122" s="7">
        <f t="shared" si="1"/>
        <v>2159.88</v>
      </c>
    </row>
    <row r="123" spans="1:8" ht="18">
      <c r="A123" s="4" t="s">
        <v>281</v>
      </c>
      <c r="B123" s="9" t="s">
        <v>282</v>
      </c>
      <c r="C123" s="205" t="s">
        <v>283</v>
      </c>
      <c r="D123" s="9" t="s">
        <v>19</v>
      </c>
      <c r="E123" s="9" t="s">
        <v>104</v>
      </c>
      <c r="F123" s="206">
        <v>6</v>
      </c>
      <c r="G123" s="206">
        <v>20.43</v>
      </c>
      <c r="H123" s="7">
        <f t="shared" si="1"/>
        <v>122.58</v>
      </c>
    </row>
    <row r="124" spans="1:8" ht="18">
      <c r="A124" s="4" t="s">
        <v>284</v>
      </c>
      <c r="B124" s="9" t="s">
        <v>285</v>
      </c>
      <c r="C124" s="205" t="s">
        <v>286</v>
      </c>
      <c r="D124" s="9" t="s">
        <v>19</v>
      </c>
      <c r="E124" s="9" t="s">
        <v>104</v>
      </c>
      <c r="F124" s="206">
        <v>6</v>
      </c>
      <c r="G124" s="206">
        <v>16.68</v>
      </c>
      <c r="H124" s="7">
        <f t="shared" si="1"/>
        <v>100.08</v>
      </c>
    </row>
    <row r="125" spans="1:8" ht="18">
      <c r="A125" s="4" t="s">
        <v>287</v>
      </c>
      <c r="B125" s="210" t="s">
        <v>1045</v>
      </c>
      <c r="C125" s="205" t="s">
        <v>288</v>
      </c>
      <c r="D125" s="210" t="s">
        <v>313</v>
      </c>
      <c r="E125" s="9" t="s">
        <v>20</v>
      </c>
      <c r="F125" s="206">
        <v>2</v>
      </c>
      <c r="G125" s="206">
        <v>203.01</v>
      </c>
      <c r="H125" s="7">
        <f t="shared" si="1"/>
        <v>406.02</v>
      </c>
    </row>
    <row r="126" spans="1:8" ht="27">
      <c r="A126" s="4" t="s">
        <v>289</v>
      </c>
      <c r="B126" s="210">
        <v>3</v>
      </c>
      <c r="C126" s="209" t="s">
        <v>1046</v>
      </c>
      <c r="D126" s="210" t="s">
        <v>1041</v>
      </c>
      <c r="E126" s="9" t="s">
        <v>104</v>
      </c>
      <c r="F126" s="206">
        <v>5</v>
      </c>
      <c r="G126" s="206">
        <v>224.67</v>
      </c>
      <c r="H126" s="7">
        <f t="shared" si="1"/>
        <v>1123.3499999999999</v>
      </c>
    </row>
    <row r="127" spans="1:8" ht="18">
      <c r="A127" s="4" t="s">
        <v>290</v>
      </c>
      <c r="B127" s="214">
        <v>4</v>
      </c>
      <c r="C127" s="209" t="s">
        <v>1044</v>
      </c>
      <c r="D127" s="210" t="s">
        <v>1041</v>
      </c>
      <c r="E127" s="9" t="s">
        <v>104</v>
      </c>
      <c r="F127" s="206">
        <v>3</v>
      </c>
      <c r="G127" s="206">
        <v>307.03372210368002</v>
      </c>
      <c r="H127" s="7">
        <f t="shared" si="1"/>
        <v>921.10116631104006</v>
      </c>
    </row>
    <row r="128" spans="1:8">
      <c r="A128" s="4" t="s">
        <v>291</v>
      </c>
      <c r="B128" s="9" t="s">
        <v>292</v>
      </c>
      <c r="C128" s="205" t="s">
        <v>293</v>
      </c>
      <c r="D128" s="9" t="s">
        <v>14</v>
      </c>
      <c r="E128" s="9" t="s">
        <v>104</v>
      </c>
      <c r="F128" s="206">
        <v>4</v>
      </c>
      <c r="G128" s="206">
        <v>62.43</v>
      </c>
      <c r="H128" s="7">
        <f t="shared" si="1"/>
        <v>249.72</v>
      </c>
    </row>
    <row r="129" spans="1:12">
      <c r="A129" s="4" t="s">
        <v>294</v>
      </c>
      <c r="B129" s="9" t="s">
        <v>295</v>
      </c>
      <c r="C129" s="205" t="s">
        <v>296</v>
      </c>
      <c r="D129" s="9" t="s">
        <v>14</v>
      </c>
      <c r="E129" s="9" t="s">
        <v>104</v>
      </c>
      <c r="F129" s="206">
        <v>3</v>
      </c>
      <c r="G129" s="206">
        <v>57.6</v>
      </c>
      <c r="H129" s="7">
        <f t="shared" si="1"/>
        <v>172.8</v>
      </c>
    </row>
    <row r="130" spans="1:12" ht="36">
      <c r="A130" s="4" t="s">
        <v>297</v>
      </c>
      <c r="B130" s="9" t="s">
        <v>298</v>
      </c>
      <c r="C130" s="205" t="s">
        <v>299</v>
      </c>
      <c r="D130" s="9" t="s">
        <v>19</v>
      </c>
      <c r="E130" s="9" t="s">
        <v>104</v>
      </c>
      <c r="F130" s="206">
        <v>9</v>
      </c>
      <c r="G130" s="206">
        <v>82.34</v>
      </c>
      <c r="H130" s="7">
        <f t="shared" si="1"/>
        <v>741.06000000000006</v>
      </c>
    </row>
    <row r="131" spans="1:12">
      <c r="A131" s="4" t="s">
        <v>300</v>
      </c>
      <c r="B131" s="214" t="s">
        <v>367</v>
      </c>
      <c r="C131" s="212" t="s">
        <v>368</v>
      </c>
      <c r="D131" s="9" t="s">
        <v>14</v>
      </c>
      <c r="E131" s="9" t="s">
        <v>104</v>
      </c>
      <c r="F131" s="206">
        <v>10</v>
      </c>
      <c r="G131" s="206">
        <v>21.57</v>
      </c>
      <c r="H131" s="7">
        <f t="shared" si="1"/>
        <v>215.7</v>
      </c>
    </row>
    <row r="132" spans="1:12">
      <c r="A132" s="4" t="s">
        <v>301</v>
      </c>
      <c r="B132" s="210">
        <v>5</v>
      </c>
      <c r="C132" s="212" t="s">
        <v>369</v>
      </c>
      <c r="D132" s="210" t="s">
        <v>1041</v>
      </c>
      <c r="E132" s="9" t="s">
        <v>104</v>
      </c>
      <c r="F132" s="206">
        <v>1</v>
      </c>
      <c r="G132" s="206">
        <v>528.16190846641871</v>
      </c>
      <c r="H132" s="7">
        <f t="shared" si="1"/>
        <v>528.16190846641871</v>
      </c>
    </row>
    <row r="133" spans="1:12" ht="20.100000000000001" customHeight="1">
      <c r="A133" s="2" t="s">
        <v>302</v>
      </c>
      <c r="B133" s="131" t="s">
        <v>303</v>
      </c>
      <c r="C133" s="132"/>
      <c r="D133" s="132"/>
      <c r="E133" s="132"/>
      <c r="F133" s="132"/>
      <c r="G133" s="132"/>
      <c r="H133" s="3">
        <f>SUM(H134)</f>
        <v>3158.1169999999997</v>
      </c>
    </row>
    <row r="134" spans="1:12">
      <c r="A134" s="4" t="s">
        <v>304</v>
      </c>
      <c r="B134" s="5" t="s">
        <v>305</v>
      </c>
      <c r="C134" s="6" t="s">
        <v>306</v>
      </c>
      <c r="D134" s="5" t="s">
        <v>57</v>
      </c>
      <c r="E134" s="5" t="s">
        <v>15</v>
      </c>
      <c r="F134" s="7">
        <v>169.7</v>
      </c>
      <c r="G134" s="7">
        <v>18.61</v>
      </c>
      <c r="H134" s="7">
        <f t="shared" si="1"/>
        <v>3158.1169999999997</v>
      </c>
    </row>
    <row r="135" spans="1:12" ht="15" customHeight="1">
      <c r="A135" s="1"/>
      <c r="B135" s="1"/>
      <c r="C135" s="1"/>
      <c r="D135" s="1"/>
      <c r="E135" s="1"/>
      <c r="F135" s="138" t="s">
        <v>307</v>
      </c>
      <c r="G135" s="139"/>
      <c r="H135" s="3">
        <f>H8+H14+H19+H32+H36+H38+H40+H42+H51+H57+H70+H76+H90+H105+H120+H133</f>
        <v>254916.83215477742</v>
      </c>
      <c r="I135" s="3">
        <v>305230.84999999998</v>
      </c>
      <c r="K135">
        <v>24.3</v>
      </c>
      <c r="L135" t="s">
        <v>1038</v>
      </c>
    </row>
    <row r="136" spans="1:12" ht="15" customHeight="1">
      <c r="A136" s="1"/>
      <c r="B136" s="1"/>
      <c r="C136" s="1"/>
      <c r="D136" s="1"/>
      <c r="E136" s="1"/>
      <c r="F136" s="138" t="s">
        <v>308</v>
      </c>
      <c r="G136" s="139"/>
      <c r="H136" s="3">
        <f>H135*0.243</f>
        <v>61944.790213610911</v>
      </c>
      <c r="I136" s="3">
        <v>74110.050380000001</v>
      </c>
    </row>
    <row r="137" spans="1:12" ht="15" customHeight="1">
      <c r="A137" s="1"/>
      <c r="B137" s="1"/>
      <c r="C137" s="1"/>
      <c r="D137" s="1"/>
      <c r="E137" s="1"/>
      <c r="F137" s="138" t="s">
        <v>309</v>
      </c>
      <c r="G137" s="139"/>
      <c r="H137" s="3">
        <f>H135+H136</f>
        <v>316861.62236838834</v>
      </c>
      <c r="I137" s="3">
        <v>379340.90038000001</v>
      </c>
    </row>
  </sheetData>
  <mergeCells count="23">
    <mergeCell ref="F137:G137"/>
    <mergeCell ref="B105:G105"/>
    <mergeCell ref="B120:G120"/>
    <mergeCell ref="B133:G133"/>
    <mergeCell ref="F135:G135"/>
    <mergeCell ref="F136:G136"/>
    <mergeCell ref="B51:G51"/>
    <mergeCell ref="B57:G57"/>
    <mergeCell ref="B70:G70"/>
    <mergeCell ref="B76:G76"/>
    <mergeCell ref="B90:G90"/>
    <mergeCell ref="B32:G32"/>
    <mergeCell ref="B36:G36"/>
    <mergeCell ref="B38:G38"/>
    <mergeCell ref="B40:G40"/>
    <mergeCell ref="B42:G42"/>
    <mergeCell ref="A1:H1"/>
    <mergeCell ref="B2:G2"/>
    <mergeCell ref="B8:G8"/>
    <mergeCell ref="B14:G14"/>
    <mergeCell ref="B19:G19"/>
    <mergeCell ref="A4:C4"/>
    <mergeCell ref="A6:H6"/>
  </mergeCells>
  <pageMargins left="0.27777777777777779" right="0.27777777777777779" top="0.27777777777777779" bottom="0.27777777777777779" header="0" footer="0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50"/>
  <sheetViews>
    <sheetView topLeftCell="A202" workbookViewId="0">
      <selection activeCell="A215" sqref="A215"/>
    </sheetView>
  </sheetViews>
  <sheetFormatPr defaultRowHeight="15"/>
  <cols>
    <col min="1" max="1" width="17.85546875" style="89" customWidth="1"/>
    <col min="2" max="2" width="12.85546875" style="89" customWidth="1"/>
    <col min="3" max="4" width="8.85546875" style="89" customWidth="1"/>
    <col min="5" max="5" width="11.140625" style="89" customWidth="1"/>
    <col min="6" max="7" width="8.85546875" style="89" customWidth="1"/>
    <col min="8" max="8" width="17.7109375" style="89" customWidth="1"/>
    <col min="9" max="16384" width="9.140625" style="89"/>
  </cols>
  <sheetData>
    <row r="1" spans="1:12" s="10" customFormat="1">
      <c r="A1" s="51" t="s">
        <v>968</v>
      </c>
      <c r="B1" s="52"/>
      <c r="C1" s="52"/>
      <c r="D1" s="53"/>
      <c r="E1" s="53"/>
      <c r="F1" s="53"/>
      <c r="G1" s="59"/>
      <c r="H1" s="54"/>
      <c r="I1" s="107"/>
      <c r="J1" s="50"/>
      <c r="K1" s="50"/>
      <c r="L1" s="50"/>
    </row>
    <row r="2" spans="1:12" s="10" customFormat="1">
      <c r="A2" s="133" t="s">
        <v>1039</v>
      </c>
      <c r="B2" s="134"/>
      <c r="C2" s="134"/>
      <c r="D2" s="48"/>
      <c r="E2" s="48"/>
      <c r="F2" s="48"/>
      <c r="G2" s="60"/>
      <c r="H2" s="55"/>
      <c r="I2" s="107"/>
      <c r="J2" s="50"/>
      <c r="K2" s="50"/>
      <c r="L2" s="50"/>
    </row>
    <row r="3" spans="1:12" s="10" customFormat="1">
      <c r="A3" s="56" t="s">
        <v>969</v>
      </c>
      <c r="B3" s="24"/>
      <c r="C3" s="25"/>
      <c r="D3" s="48"/>
      <c r="E3" s="48"/>
      <c r="F3" s="48"/>
      <c r="G3" s="60"/>
      <c r="H3" s="55"/>
      <c r="I3" s="107"/>
      <c r="J3" s="50"/>
      <c r="K3" s="50"/>
      <c r="L3" s="50"/>
    </row>
    <row r="4" spans="1:12" s="10" customFormat="1" ht="21" customHeight="1">
      <c r="A4" s="144" t="s">
        <v>1221</v>
      </c>
      <c r="B4" s="145"/>
      <c r="C4" s="145"/>
      <c r="D4" s="145"/>
      <c r="E4" s="145"/>
      <c r="F4" s="145"/>
      <c r="G4" s="145"/>
      <c r="H4" s="146"/>
      <c r="I4" s="49"/>
      <c r="J4" s="49"/>
      <c r="K4" s="49"/>
      <c r="L4" s="50"/>
    </row>
    <row r="5" spans="1:12" ht="21.95" customHeight="1">
      <c r="A5" s="140" t="s">
        <v>1047</v>
      </c>
      <c r="B5" s="141"/>
      <c r="C5" s="141"/>
      <c r="D5" s="141"/>
      <c r="E5" s="141"/>
      <c r="F5" s="141"/>
      <c r="G5" s="141"/>
      <c r="H5" s="142"/>
      <c r="I5" s="106"/>
      <c r="J5" s="106"/>
      <c r="K5" s="106"/>
      <c r="L5" s="106"/>
    </row>
    <row r="6" spans="1:12" ht="15" customHeight="1">
      <c r="A6" s="99"/>
      <c r="B6" s="90"/>
      <c r="C6" s="91" t="s">
        <v>1048</v>
      </c>
      <c r="D6" s="91" t="s">
        <v>1049</v>
      </c>
      <c r="E6" s="92" t="s">
        <v>1050</v>
      </c>
      <c r="F6" s="90"/>
      <c r="G6" s="90"/>
      <c r="H6" s="100"/>
      <c r="I6" s="106"/>
      <c r="J6" s="106"/>
      <c r="K6" s="106"/>
      <c r="L6" s="106"/>
    </row>
    <row r="7" spans="1:12" ht="12.95" customHeight="1">
      <c r="A7" s="101" t="s">
        <v>1051</v>
      </c>
      <c r="B7" s="93" t="s">
        <v>1052</v>
      </c>
      <c r="C7" s="94">
        <v>1</v>
      </c>
      <c r="D7" s="94">
        <v>2</v>
      </c>
      <c r="E7" s="95">
        <v>2</v>
      </c>
      <c r="F7" s="90"/>
      <c r="G7" s="90"/>
      <c r="H7" s="100"/>
      <c r="J7" s="106"/>
      <c r="K7" s="106"/>
      <c r="L7" s="106"/>
    </row>
    <row r="8" spans="1:12" ht="15" customHeight="1">
      <c r="A8" s="102"/>
      <c r="B8" s="96"/>
      <c r="C8" s="97"/>
      <c r="D8" s="97"/>
      <c r="E8" s="98">
        <v>2</v>
      </c>
      <c r="F8" s="90"/>
      <c r="G8" s="90"/>
      <c r="H8" s="100"/>
      <c r="J8" s="106"/>
      <c r="K8" s="106"/>
      <c r="L8" s="106"/>
    </row>
    <row r="9" spans="1:12" ht="30" customHeight="1">
      <c r="A9" s="140" t="s">
        <v>1053</v>
      </c>
      <c r="B9" s="141"/>
      <c r="C9" s="141"/>
      <c r="D9" s="141"/>
      <c r="E9" s="141"/>
      <c r="F9" s="141"/>
      <c r="G9" s="141"/>
      <c r="H9" s="142"/>
    </row>
    <row r="10" spans="1:12" ht="15" customHeight="1">
      <c r="A10" s="99"/>
      <c r="B10" s="90"/>
      <c r="C10" s="91" t="s">
        <v>1049</v>
      </c>
      <c r="D10" s="91" t="s">
        <v>1054</v>
      </c>
      <c r="E10" s="92" t="s">
        <v>1050</v>
      </c>
      <c r="F10" s="90"/>
      <c r="G10" s="90"/>
      <c r="H10" s="100"/>
    </row>
    <row r="11" spans="1:12" ht="12.95" customHeight="1">
      <c r="A11" s="101" t="s">
        <v>1055</v>
      </c>
      <c r="B11" s="93" t="s">
        <v>1056</v>
      </c>
      <c r="C11" s="94">
        <v>10</v>
      </c>
      <c r="D11" s="94">
        <v>2</v>
      </c>
      <c r="E11" s="95">
        <v>20</v>
      </c>
      <c r="F11" s="90"/>
      <c r="G11" s="90"/>
      <c r="H11" s="100"/>
    </row>
    <row r="12" spans="1:12" ht="12.95" customHeight="1">
      <c r="A12" s="101" t="s">
        <v>1057</v>
      </c>
      <c r="B12" s="93" t="s">
        <v>1056</v>
      </c>
      <c r="C12" s="94">
        <v>17.8</v>
      </c>
      <c r="D12" s="94">
        <v>2</v>
      </c>
      <c r="E12" s="95">
        <v>35.6</v>
      </c>
      <c r="F12" s="90"/>
      <c r="G12" s="90"/>
      <c r="H12" s="100"/>
    </row>
    <row r="13" spans="1:12" ht="15" customHeight="1">
      <c r="A13" s="102"/>
      <c r="B13" s="96"/>
      <c r="C13" s="97"/>
      <c r="D13" s="97"/>
      <c r="E13" s="98">
        <v>55.6</v>
      </c>
      <c r="F13" s="90"/>
      <c r="G13" s="90"/>
      <c r="H13" s="100"/>
    </row>
    <row r="14" spans="1:12" ht="30" customHeight="1">
      <c r="A14" s="140" t="s">
        <v>1058</v>
      </c>
      <c r="B14" s="141"/>
      <c r="C14" s="141"/>
      <c r="D14" s="141"/>
      <c r="E14" s="141"/>
      <c r="F14" s="141"/>
      <c r="G14" s="141"/>
      <c r="H14" s="142"/>
    </row>
    <row r="15" spans="1:12" ht="15" customHeight="1">
      <c r="A15" s="99"/>
      <c r="B15" s="90"/>
      <c r="C15" s="91" t="s">
        <v>1048</v>
      </c>
      <c r="D15" s="91" t="s">
        <v>1059</v>
      </c>
      <c r="E15" s="91" t="s">
        <v>1049</v>
      </c>
      <c r="F15" s="92" t="s">
        <v>1050</v>
      </c>
      <c r="G15" s="90"/>
      <c r="H15" s="100"/>
    </row>
    <row r="16" spans="1:12" ht="12.95" customHeight="1">
      <c r="A16" s="101" t="s">
        <v>1060</v>
      </c>
      <c r="B16" s="93" t="s">
        <v>1061</v>
      </c>
      <c r="C16" s="94">
        <v>3</v>
      </c>
      <c r="D16" s="94">
        <v>31.33</v>
      </c>
      <c r="E16" s="94">
        <v>0.15</v>
      </c>
      <c r="F16" s="95">
        <v>14.098499999999998</v>
      </c>
      <c r="G16" s="90"/>
      <c r="H16" s="100"/>
    </row>
    <row r="17" spans="1:8" ht="15" customHeight="1">
      <c r="A17" s="102"/>
      <c r="B17" s="96"/>
      <c r="C17" s="97"/>
      <c r="D17" s="97"/>
      <c r="E17" s="97"/>
      <c r="F17" s="98">
        <v>14.1</v>
      </c>
      <c r="G17" s="90"/>
      <c r="H17" s="100"/>
    </row>
    <row r="18" spans="1:8" ht="21.95" customHeight="1">
      <c r="A18" s="140" t="s">
        <v>1062</v>
      </c>
      <c r="B18" s="141"/>
      <c r="C18" s="141"/>
      <c r="D18" s="141"/>
      <c r="E18" s="141"/>
      <c r="F18" s="141"/>
      <c r="G18" s="141"/>
      <c r="H18" s="142"/>
    </row>
    <row r="19" spans="1:8" ht="15" customHeight="1">
      <c r="A19" s="99"/>
      <c r="B19" s="90"/>
      <c r="C19" s="91" t="s">
        <v>1063</v>
      </c>
      <c r="D19" s="92" t="s">
        <v>1050</v>
      </c>
      <c r="E19" s="90"/>
      <c r="F19" s="90"/>
      <c r="G19" s="90"/>
      <c r="H19" s="100"/>
    </row>
    <row r="20" spans="1:8" ht="18" customHeight="1">
      <c r="A20" s="101" t="s">
        <v>1064</v>
      </c>
      <c r="B20" s="93" t="s">
        <v>1065</v>
      </c>
      <c r="C20" s="94">
        <v>95.44</v>
      </c>
      <c r="D20" s="95">
        <v>95.44</v>
      </c>
      <c r="E20" s="90"/>
      <c r="F20" s="90"/>
      <c r="G20" s="90"/>
      <c r="H20" s="100"/>
    </row>
    <row r="21" spans="1:8" ht="15" customHeight="1">
      <c r="A21" s="102"/>
      <c r="B21" s="96"/>
      <c r="C21" s="97"/>
      <c r="D21" s="98">
        <v>95.44</v>
      </c>
      <c r="E21" s="90"/>
      <c r="F21" s="90"/>
      <c r="G21" s="90"/>
      <c r="H21" s="100"/>
    </row>
    <row r="22" spans="1:8" ht="30" customHeight="1">
      <c r="A22" s="140" t="s">
        <v>1066</v>
      </c>
      <c r="B22" s="141"/>
      <c r="C22" s="141"/>
      <c r="D22" s="141"/>
      <c r="E22" s="141"/>
      <c r="F22" s="141"/>
      <c r="G22" s="141"/>
      <c r="H22" s="142"/>
    </row>
    <row r="23" spans="1:8" ht="15" customHeight="1">
      <c r="A23" s="99"/>
      <c r="B23" s="90"/>
      <c r="C23" s="91" t="s">
        <v>1059</v>
      </c>
      <c r="D23" s="91" t="s">
        <v>1049</v>
      </c>
      <c r="E23" s="91" t="s">
        <v>1054</v>
      </c>
      <c r="F23" s="92" t="s">
        <v>1050</v>
      </c>
      <c r="G23" s="90"/>
      <c r="H23" s="100"/>
    </row>
    <row r="24" spans="1:8" ht="12.95" customHeight="1">
      <c r="A24" s="101" t="s">
        <v>1067</v>
      </c>
      <c r="B24" s="93" t="s">
        <v>1068</v>
      </c>
      <c r="C24" s="94">
        <v>0.8</v>
      </c>
      <c r="D24" s="94">
        <v>0.6</v>
      </c>
      <c r="E24" s="94">
        <v>8</v>
      </c>
      <c r="F24" s="95">
        <v>3.84</v>
      </c>
      <c r="G24" s="90"/>
      <c r="H24" s="100"/>
    </row>
    <row r="25" spans="1:8" ht="12.95" customHeight="1">
      <c r="A25" s="101" t="s">
        <v>1069</v>
      </c>
      <c r="B25" s="93" t="s">
        <v>1068</v>
      </c>
      <c r="C25" s="94">
        <v>0.8</v>
      </c>
      <c r="D25" s="94">
        <v>0.8</v>
      </c>
      <c r="E25" s="94">
        <v>10</v>
      </c>
      <c r="F25" s="95">
        <v>6.4000000000000012</v>
      </c>
      <c r="G25" s="90"/>
      <c r="H25" s="100"/>
    </row>
    <row r="26" spans="1:8" ht="15" customHeight="1">
      <c r="A26" s="102"/>
      <c r="B26" s="96"/>
      <c r="C26" s="97"/>
      <c r="D26" s="97"/>
      <c r="E26" s="97"/>
      <c r="F26" s="98">
        <v>10.24</v>
      </c>
      <c r="G26" s="90"/>
      <c r="H26" s="100"/>
    </row>
    <row r="27" spans="1:8" ht="21.95" customHeight="1">
      <c r="A27" s="140" t="s">
        <v>1070</v>
      </c>
      <c r="B27" s="141"/>
      <c r="C27" s="141"/>
      <c r="D27" s="141"/>
      <c r="E27" s="141"/>
      <c r="F27" s="141"/>
      <c r="G27" s="141"/>
      <c r="H27" s="142"/>
    </row>
    <row r="28" spans="1:8" ht="15" customHeight="1">
      <c r="A28" s="99"/>
      <c r="B28" s="90"/>
      <c r="C28" s="91" t="s">
        <v>1048</v>
      </c>
      <c r="D28" s="91" t="s">
        <v>1059</v>
      </c>
      <c r="E28" s="91" t="s">
        <v>1049</v>
      </c>
      <c r="F28" s="91" t="s">
        <v>1054</v>
      </c>
      <c r="G28" s="92" t="s">
        <v>1050</v>
      </c>
      <c r="H28" s="100"/>
    </row>
    <row r="29" spans="1:8" ht="12.95" customHeight="1">
      <c r="A29" s="101" t="s">
        <v>1071</v>
      </c>
      <c r="B29" s="93" t="s">
        <v>1072</v>
      </c>
      <c r="C29" s="94">
        <v>0.6</v>
      </c>
      <c r="D29" s="94">
        <v>0.8</v>
      </c>
      <c r="E29" s="94">
        <v>0.6</v>
      </c>
      <c r="F29" s="94">
        <v>8</v>
      </c>
      <c r="G29" s="95">
        <v>2.3039999999999998</v>
      </c>
      <c r="H29" s="100"/>
    </row>
    <row r="30" spans="1:8" ht="12.95" customHeight="1">
      <c r="A30" s="101" t="s">
        <v>1073</v>
      </c>
      <c r="B30" s="93" t="s">
        <v>1072</v>
      </c>
      <c r="C30" s="94">
        <v>0.6</v>
      </c>
      <c r="D30" s="94">
        <v>0.8</v>
      </c>
      <c r="E30" s="94">
        <v>0.8</v>
      </c>
      <c r="F30" s="94">
        <v>10</v>
      </c>
      <c r="G30" s="95">
        <v>3.8400000000000007</v>
      </c>
      <c r="H30" s="100"/>
    </row>
    <row r="31" spans="1:8" ht="15" customHeight="1">
      <c r="A31" s="102"/>
      <c r="B31" s="96"/>
      <c r="C31" s="97"/>
      <c r="D31" s="97"/>
      <c r="E31" s="97"/>
      <c r="F31" s="97"/>
      <c r="G31" s="98">
        <v>6.14</v>
      </c>
      <c r="H31" s="100"/>
    </row>
    <row r="32" spans="1:8" ht="21.95" customHeight="1">
      <c r="A32" s="140" t="s">
        <v>1074</v>
      </c>
      <c r="B32" s="141"/>
      <c r="C32" s="141"/>
      <c r="D32" s="141"/>
      <c r="E32" s="141"/>
      <c r="F32" s="141"/>
      <c r="G32" s="141"/>
      <c r="H32" s="142"/>
    </row>
    <row r="33" spans="1:8" ht="15" customHeight="1">
      <c r="A33" s="99"/>
      <c r="B33" s="90"/>
      <c r="C33" s="91" t="s">
        <v>370</v>
      </c>
      <c r="D33" s="92" t="s">
        <v>1050</v>
      </c>
      <c r="E33" s="90"/>
      <c r="F33" s="90"/>
      <c r="G33" s="90"/>
      <c r="H33" s="100"/>
    </row>
    <row r="34" spans="1:8" ht="18" customHeight="1">
      <c r="A34" s="101" t="s">
        <v>1075</v>
      </c>
      <c r="B34" s="93" t="s">
        <v>1076</v>
      </c>
      <c r="C34" s="94">
        <v>169.7</v>
      </c>
      <c r="D34" s="95">
        <v>169.7</v>
      </c>
      <c r="E34" s="90"/>
      <c r="F34" s="90"/>
      <c r="G34" s="90"/>
      <c r="H34" s="100"/>
    </row>
    <row r="35" spans="1:8" ht="15" customHeight="1">
      <c r="A35" s="102"/>
      <c r="B35" s="96"/>
      <c r="C35" s="97"/>
      <c r="D35" s="98">
        <v>169.7</v>
      </c>
      <c r="E35" s="90"/>
      <c r="F35" s="90"/>
      <c r="G35" s="90"/>
      <c r="H35" s="100"/>
    </row>
    <row r="36" spans="1:8" ht="21.95" customHeight="1">
      <c r="A36" s="140" t="s">
        <v>1077</v>
      </c>
      <c r="B36" s="141"/>
      <c r="C36" s="141"/>
      <c r="D36" s="141"/>
      <c r="E36" s="141"/>
      <c r="F36" s="141"/>
      <c r="G36" s="141"/>
      <c r="H36" s="142"/>
    </row>
    <row r="37" spans="1:8" ht="15" customHeight="1">
      <c r="A37" s="99"/>
      <c r="B37" s="90"/>
      <c r="C37" s="91" t="s">
        <v>1078</v>
      </c>
      <c r="D37" s="91" t="s">
        <v>1079</v>
      </c>
      <c r="E37" s="92" t="s">
        <v>1050</v>
      </c>
      <c r="F37" s="90"/>
      <c r="G37" s="90"/>
      <c r="H37" s="100"/>
    </row>
    <row r="38" spans="1:8" ht="12.95" customHeight="1">
      <c r="A38" s="101" t="s">
        <v>1080</v>
      </c>
      <c r="B38" s="93" t="s">
        <v>1081</v>
      </c>
      <c r="C38" s="94">
        <v>0.2</v>
      </c>
      <c r="D38" s="94">
        <v>169.7</v>
      </c>
      <c r="E38" s="95">
        <v>33.94</v>
      </c>
      <c r="F38" s="90"/>
      <c r="G38" s="90"/>
      <c r="H38" s="100"/>
    </row>
    <row r="39" spans="1:8" ht="15" customHeight="1">
      <c r="A39" s="102"/>
      <c r="B39" s="96"/>
      <c r="C39" s="97"/>
      <c r="D39" s="97"/>
      <c r="E39" s="98">
        <v>33.94</v>
      </c>
      <c r="F39" s="90"/>
      <c r="G39" s="90"/>
      <c r="H39" s="100"/>
    </row>
    <row r="40" spans="1:8" ht="30" customHeight="1">
      <c r="A40" s="140" t="s">
        <v>1082</v>
      </c>
      <c r="B40" s="141"/>
      <c r="C40" s="141"/>
      <c r="D40" s="141"/>
      <c r="E40" s="141"/>
      <c r="F40" s="141"/>
      <c r="G40" s="141"/>
      <c r="H40" s="142"/>
    </row>
    <row r="41" spans="1:8" ht="15" customHeight="1">
      <c r="A41" s="99"/>
      <c r="B41" s="90"/>
      <c r="C41" s="91" t="s">
        <v>1048</v>
      </c>
      <c r="D41" s="91" t="s">
        <v>1059</v>
      </c>
      <c r="E41" s="91" t="s">
        <v>1049</v>
      </c>
      <c r="F41" s="92" t="s">
        <v>1050</v>
      </c>
      <c r="G41" s="90"/>
      <c r="H41" s="100"/>
    </row>
    <row r="42" spans="1:8" ht="12.95" customHeight="1">
      <c r="A42" s="101" t="s">
        <v>1083</v>
      </c>
      <c r="B42" s="93" t="s">
        <v>1061</v>
      </c>
      <c r="C42" s="94">
        <v>0.1</v>
      </c>
      <c r="D42" s="94">
        <v>117.15</v>
      </c>
      <c r="E42" s="94">
        <v>0.2</v>
      </c>
      <c r="F42" s="95">
        <v>2.3430000000000004</v>
      </c>
      <c r="G42" s="90"/>
      <c r="H42" s="100"/>
    </row>
    <row r="43" spans="1:8" ht="15" customHeight="1">
      <c r="A43" s="102"/>
      <c r="B43" s="96"/>
      <c r="C43" s="97"/>
      <c r="D43" s="97"/>
      <c r="E43" s="97"/>
      <c r="F43" s="98">
        <v>2.34</v>
      </c>
      <c r="G43" s="90"/>
      <c r="H43" s="100"/>
    </row>
    <row r="44" spans="1:8" ht="41.1" customHeight="1">
      <c r="A44" s="140" t="s">
        <v>1084</v>
      </c>
      <c r="B44" s="141"/>
      <c r="C44" s="141"/>
      <c r="D44" s="141"/>
      <c r="E44" s="141"/>
      <c r="F44" s="141"/>
      <c r="G44" s="141"/>
      <c r="H44" s="142"/>
    </row>
    <row r="45" spans="1:8" ht="15" customHeight="1">
      <c r="A45" s="99"/>
      <c r="B45" s="90"/>
      <c r="C45" s="91" t="s">
        <v>1048</v>
      </c>
      <c r="D45" s="91" t="s">
        <v>1049</v>
      </c>
      <c r="E45" s="91" t="s">
        <v>1054</v>
      </c>
      <c r="F45" s="92" t="s">
        <v>1050</v>
      </c>
      <c r="G45" s="90"/>
      <c r="H45" s="100"/>
    </row>
    <row r="46" spans="1:8" ht="12.95" customHeight="1">
      <c r="A46" s="101" t="s">
        <v>1085</v>
      </c>
      <c r="B46" s="93" t="s">
        <v>1086</v>
      </c>
      <c r="C46" s="94">
        <v>3.7</v>
      </c>
      <c r="D46" s="94">
        <v>0.7</v>
      </c>
      <c r="E46" s="94">
        <v>18</v>
      </c>
      <c r="F46" s="95">
        <v>46.62</v>
      </c>
      <c r="G46" s="90"/>
      <c r="H46" s="100"/>
    </row>
    <row r="47" spans="1:8" ht="12.95" customHeight="1">
      <c r="A47" s="101" t="s">
        <v>1087</v>
      </c>
      <c r="B47" s="93" t="s">
        <v>1086</v>
      </c>
      <c r="C47" s="94">
        <v>0.3</v>
      </c>
      <c r="D47" s="94">
        <v>146</v>
      </c>
      <c r="E47" s="94">
        <v>2</v>
      </c>
      <c r="F47" s="95">
        <v>87.6</v>
      </c>
      <c r="G47" s="90"/>
      <c r="H47" s="100"/>
    </row>
    <row r="48" spans="1:8" ht="15" customHeight="1">
      <c r="A48" s="102"/>
      <c r="B48" s="96"/>
      <c r="C48" s="97"/>
      <c r="D48" s="97"/>
      <c r="E48" s="97"/>
      <c r="F48" s="98">
        <v>134.22</v>
      </c>
      <c r="G48" s="90"/>
      <c r="H48" s="100"/>
    </row>
    <row r="49" spans="1:8" ht="21.95" customHeight="1">
      <c r="A49" s="140" t="s">
        <v>1088</v>
      </c>
      <c r="B49" s="141"/>
      <c r="C49" s="141"/>
      <c r="D49" s="141"/>
      <c r="E49" s="141"/>
      <c r="F49" s="141"/>
      <c r="G49" s="141"/>
      <c r="H49" s="142"/>
    </row>
    <row r="50" spans="1:8" ht="15" customHeight="1">
      <c r="A50" s="99"/>
      <c r="B50" s="90"/>
      <c r="C50" s="91" t="s">
        <v>1089</v>
      </c>
      <c r="D50" s="91" t="s">
        <v>1090</v>
      </c>
      <c r="E50" s="91" t="s">
        <v>1091</v>
      </c>
      <c r="F50" s="92" t="s">
        <v>1050</v>
      </c>
      <c r="G50" s="90"/>
      <c r="H50" s="100"/>
    </row>
    <row r="51" spans="1:8" ht="18" customHeight="1">
      <c r="A51" s="101" t="s">
        <v>1092</v>
      </c>
      <c r="B51" s="93" t="s">
        <v>1093</v>
      </c>
      <c r="C51" s="94">
        <v>0.8</v>
      </c>
      <c r="D51" s="94">
        <v>0.8</v>
      </c>
      <c r="E51" s="94">
        <v>22</v>
      </c>
      <c r="F51" s="95">
        <v>14.080000000000002</v>
      </c>
      <c r="G51" s="90"/>
      <c r="H51" s="100"/>
    </row>
    <row r="52" spans="1:8" ht="15" customHeight="1">
      <c r="A52" s="102"/>
      <c r="B52" s="96"/>
      <c r="C52" s="97"/>
      <c r="D52" s="97"/>
      <c r="E52" s="97"/>
      <c r="F52" s="98">
        <v>14.08</v>
      </c>
      <c r="G52" s="90"/>
      <c r="H52" s="100"/>
    </row>
    <row r="53" spans="1:8" ht="30" customHeight="1">
      <c r="A53" s="140" t="s">
        <v>1094</v>
      </c>
      <c r="B53" s="141"/>
      <c r="C53" s="141"/>
      <c r="D53" s="141"/>
      <c r="E53" s="141"/>
      <c r="F53" s="141"/>
      <c r="G53" s="141"/>
      <c r="H53" s="142"/>
    </row>
    <row r="54" spans="1:8" ht="15" customHeight="1">
      <c r="A54" s="99"/>
      <c r="B54" s="90"/>
      <c r="C54" s="91" t="s">
        <v>1095</v>
      </c>
      <c r="D54" s="91" t="s">
        <v>1089</v>
      </c>
      <c r="E54" s="91" t="s">
        <v>1090</v>
      </c>
      <c r="F54" s="91" t="s">
        <v>1091</v>
      </c>
      <c r="G54" s="92" t="s">
        <v>1050</v>
      </c>
      <c r="H54" s="100"/>
    </row>
    <row r="55" spans="1:8" ht="18" customHeight="1">
      <c r="A55" s="101" t="s">
        <v>1096</v>
      </c>
      <c r="B55" s="93" t="s">
        <v>1097</v>
      </c>
      <c r="C55" s="94">
        <v>0.3</v>
      </c>
      <c r="D55" s="94">
        <v>117.14</v>
      </c>
      <c r="E55" s="94">
        <v>0.15</v>
      </c>
      <c r="F55" s="94">
        <v>0</v>
      </c>
      <c r="G55" s="95">
        <v>5.2712999999999992</v>
      </c>
      <c r="H55" s="100"/>
    </row>
    <row r="56" spans="1:8" ht="18" customHeight="1">
      <c r="A56" s="101" t="s">
        <v>1098</v>
      </c>
      <c r="B56" s="93" t="s">
        <v>1097</v>
      </c>
      <c r="C56" s="94">
        <v>0.3</v>
      </c>
      <c r="D56" s="94">
        <v>117.14</v>
      </c>
      <c r="E56" s="94">
        <v>0.15</v>
      </c>
      <c r="F56" s="94">
        <v>0</v>
      </c>
      <c r="G56" s="95">
        <v>5.2712999999999992</v>
      </c>
      <c r="H56" s="100"/>
    </row>
    <row r="57" spans="1:8" ht="18" customHeight="1">
      <c r="A57" s="101" t="s">
        <v>1099</v>
      </c>
      <c r="B57" s="93" t="s">
        <v>1100</v>
      </c>
      <c r="C57" s="94">
        <v>3</v>
      </c>
      <c r="D57" s="94">
        <v>0.15</v>
      </c>
      <c r="E57" s="94">
        <v>0.2</v>
      </c>
      <c r="F57" s="94">
        <v>14</v>
      </c>
      <c r="G57" s="95">
        <v>1.26</v>
      </c>
      <c r="H57" s="100"/>
    </row>
    <row r="58" spans="1:8" ht="18" customHeight="1">
      <c r="A58" s="101" t="s">
        <v>1101</v>
      </c>
      <c r="B58" s="93" t="s">
        <v>1097</v>
      </c>
      <c r="C58" s="94">
        <v>5</v>
      </c>
      <c r="D58" s="94">
        <v>0.15</v>
      </c>
      <c r="E58" s="94">
        <v>0.2</v>
      </c>
      <c r="F58" s="94">
        <v>0</v>
      </c>
      <c r="G58" s="95">
        <v>0.15</v>
      </c>
      <c r="H58" s="100"/>
    </row>
    <row r="59" spans="1:8" ht="15" customHeight="1">
      <c r="A59" s="102"/>
      <c r="B59" s="96"/>
      <c r="C59" s="97"/>
      <c r="D59" s="97"/>
      <c r="E59" s="97"/>
      <c r="F59" s="97"/>
      <c r="G59" s="98">
        <v>11.95</v>
      </c>
      <c r="H59" s="100"/>
    </row>
    <row r="60" spans="1:8" ht="21.95" customHeight="1">
      <c r="A60" s="140" t="s">
        <v>1102</v>
      </c>
      <c r="B60" s="141"/>
      <c r="C60" s="141"/>
      <c r="D60" s="141"/>
      <c r="E60" s="141"/>
      <c r="F60" s="141"/>
      <c r="G60" s="141"/>
      <c r="H60" s="142"/>
    </row>
    <row r="61" spans="1:8" ht="15" customHeight="1">
      <c r="A61" s="99"/>
      <c r="B61" s="90"/>
      <c r="C61" s="91" t="s">
        <v>1103</v>
      </c>
      <c r="D61" s="91" t="s">
        <v>1104</v>
      </c>
      <c r="E61" s="91" t="s">
        <v>1054</v>
      </c>
      <c r="F61" s="92" t="s">
        <v>1050</v>
      </c>
      <c r="G61" s="90"/>
      <c r="H61" s="100"/>
    </row>
    <row r="62" spans="1:8" ht="18" customHeight="1">
      <c r="A62" s="101" t="s">
        <v>1105</v>
      </c>
      <c r="B62" s="93" t="s">
        <v>1106</v>
      </c>
      <c r="C62" s="94">
        <v>0.3</v>
      </c>
      <c r="D62" s="94">
        <v>0.5</v>
      </c>
      <c r="E62" s="94">
        <v>4</v>
      </c>
      <c r="F62" s="95">
        <v>3.2</v>
      </c>
      <c r="G62" s="90"/>
      <c r="H62" s="100"/>
    </row>
    <row r="63" spans="1:8" ht="18" customHeight="1">
      <c r="A63" s="101" t="s">
        <v>1107</v>
      </c>
      <c r="B63" s="93" t="s">
        <v>1106</v>
      </c>
      <c r="C63" s="94">
        <v>0.3</v>
      </c>
      <c r="D63" s="94">
        <v>1</v>
      </c>
      <c r="E63" s="94">
        <v>2</v>
      </c>
      <c r="F63" s="95">
        <v>2.6</v>
      </c>
      <c r="G63" s="90"/>
      <c r="H63" s="100"/>
    </row>
    <row r="64" spans="1:8" ht="18" customHeight="1">
      <c r="A64" s="101" t="s">
        <v>1108</v>
      </c>
      <c r="B64" s="93" t="s">
        <v>1106</v>
      </c>
      <c r="C64" s="94">
        <v>0.3</v>
      </c>
      <c r="D64" s="94">
        <v>0.5</v>
      </c>
      <c r="E64" s="94">
        <v>1</v>
      </c>
      <c r="F64" s="95">
        <v>0.8</v>
      </c>
      <c r="G64" s="90"/>
      <c r="H64" s="100"/>
    </row>
    <row r="65" spans="1:8" ht="18" customHeight="1">
      <c r="A65" s="101" t="s">
        <v>1109</v>
      </c>
      <c r="B65" s="93" t="s">
        <v>1106</v>
      </c>
      <c r="C65" s="94">
        <v>0.3</v>
      </c>
      <c r="D65" s="94">
        <v>0.6</v>
      </c>
      <c r="E65" s="94">
        <v>1</v>
      </c>
      <c r="F65" s="95">
        <v>0.89999999999999991</v>
      </c>
      <c r="G65" s="90"/>
      <c r="H65" s="100"/>
    </row>
    <row r="66" spans="1:8" ht="18" customHeight="1">
      <c r="A66" s="101" t="s">
        <v>1110</v>
      </c>
      <c r="B66" s="93" t="s">
        <v>1106</v>
      </c>
      <c r="C66" s="94">
        <v>0.3</v>
      </c>
      <c r="D66" s="94">
        <v>1.5</v>
      </c>
      <c r="E66" s="94">
        <v>1</v>
      </c>
      <c r="F66" s="95">
        <v>1.8</v>
      </c>
      <c r="G66" s="90"/>
      <c r="H66" s="100"/>
    </row>
    <row r="67" spans="1:8" ht="15" customHeight="1">
      <c r="A67" s="102"/>
      <c r="B67" s="96"/>
      <c r="C67" s="97"/>
      <c r="D67" s="97"/>
      <c r="E67" s="97"/>
      <c r="F67" s="98">
        <v>9.3000000000000007</v>
      </c>
      <c r="G67" s="90"/>
      <c r="H67" s="100"/>
    </row>
    <row r="68" spans="1:8" ht="30" customHeight="1">
      <c r="A68" s="140" t="s">
        <v>1111</v>
      </c>
      <c r="B68" s="141"/>
      <c r="C68" s="141"/>
      <c r="D68" s="141"/>
      <c r="E68" s="141"/>
      <c r="F68" s="141"/>
      <c r="G68" s="141"/>
      <c r="H68" s="142"/>
    </row>
    <row r="69" spans="1:8" ht="15" customHeight="1">
      <c r="A69" s="99"/>
      <c r="B69" s="90"/>
      <c r="C69" s="91" t="s">
        <v>1103</v>
      </c>
      <c r="D69" s="91" t="s">
        <v>1104</v>
      </c>
      <c r="E69" s="91" t="s">
        <v>1054</v>
      </c>
      <c r="F69" s="92" t="s">
        <v>1050</v>
      </c>
      <c r="G69" s="90"/>
      <c r="H69" s="100"/>
    </row>
    <row r="70" spans="1:8" ht="18" customHeight="1">
      <c r="A70" s="101" t="s">
        <v>1112</v>
      </c>
      <c r="B70" s="93" t="s">
        <v>1106</v>
      </c>
      <c r="C70" s="94">
        <v>0.3</v>
      </c>
      <c r="D70" s="94">
        <v>0.6</v>
      </c>
      <c r="E70" s="94">
        <v>3</v>
      </c>
      <c r="F70" s="95">
        <v>2.6999999999999997</v>
      </c>
      <c r="G70" s="90"/>
      <c r="H70" s="100"/>
    </row>
    <row r="71" spans="1:8" ht="18" customHeight="1">
      <c r="A71" s="101" t="s">
        <v>1113</v>
      </c>
      <c r="B71" s="93" t="s">
        <v>1106</v>
      </c>
      <c r="C71" s="94">
        <v>0.3</v>
      </c>
      <c r="D71" s="94">
        <v>0.7</v>
      </c>
      <c r="E71" s="94">
        <v>1</v>
      </c>
      <c r="F71" s="95">
        <v>1</v>
      </c>
      <c r="G71" s="90"/>
      <c r="H71" s="100"/>
    </row>
    <row r="72" spans="1:8" ht="18" customHeight="1">
      <c r="A72" s="101" t="s">
        <v>1114</v>
      </c>
      <c r="B72" s="93" t="s">
        <v>1106</v>
      </c>
      <c r="C72" s="94">
        <v>0.3</v>
      </c>
      <c r="D72" s="94">
        <v>0.8</v>
      </c>
      <c r="E72" s="94">
        <v>3</v>
      </c>
      <c r="F72" s="95">
        <v>3.3000000000000003</v>
      </c>
      <c r="G72" s="90"/>
      <c r="H72" s="100"/>
    </row>
    <row r="73" spans="1:8" ht="18" customHeight="1">
      <c r="A73" s="101" t="s">
        <v>1115</v>
      </c>
      <c r="B73" s="93" t="s">
        <v>1106</v>
      </c>
      <c r="C73" s="94">
        <v>0.3</v>
      </c>
      <c r="D73" s="94">
        <v>0.8</v>
      </c>
      <c r="E73" s="94">
        <v>1</v>
      </c>
      <c r="F73" s="95">
        <v>1.1000000000000001</v>
      </c>
      <c r="G73" s="90"/>
      <c r="H73" s="100"/>
    </row>
    <row r="74" spans="1:8" ht="18" customHeight="1">
      <c r="A74" s="101" t="s">
        <v>1116</v>
      </c>
      <c r="B74" s="93" t="s">
        <v>1106</v>
      </c>
      <c r="C74" s="94">
        <v>0.3</v>
      </c>
      <c r="D74" s="94">
        <v>0.9</v>
      </c>
      <c r="E74" s="94">
        <v>4</v>
      </c>
      <c r="F74" s="95">
        <v>4.8</v>
      </c>
      <c r="G74" s="90"/>
      <c r="H74" s="100"/>
    </row>
    <row r="75" spans="1:8" ht="18" customHeight="1">
      <c r="A75" s="101" t="s">
        <v>1117</v>
      </c>
      <c r="B75" s="93" t="s">
        <v>1106</v>
      </c>
      <c r="C75" s="94">
        <v>0.3</v>
      </c>
      <c r="D75" s="94">
        <v>1.2</v>
      </c>
      <c r="E75" s="94">
        <v>1</v>
      </c>
      <c r="F75" s="95">
        <v>1.5</v>
      </c>
      <c r="G75" s="90"/>
      <c r="H75" s="100"/>
    </row>
    <row r="76" spans="1:8" ht="15" customHeight="1">
      <c r="A76" s="102"/>
      <c r="B76" s="96"/>
      <c r="C76" s="97"/>
      <c r="D76" s="97"/>
      <c r="E76" s="97"/>
      <c r="F76" s="98">
        <v>14.399999999999999</v>
      </c>
      <c r="G76" s="90"/>
      <c r="H76" s="100"/>
    </row>
    <row r="77" spans="1:8" ht="21.95" customHeight="1">
      <c r="A77" s="140" t="s">
        <v>1118</v>
      </c>
      <c r="B77" s="141"/>
      <c r="C77" s="141"/>
      <c r="D77" s="141"/>
      <c r="E77" s="141"/>
      <c r="F77" s="141"/>
      <c r="G77" s="141"/>
      <c r="H77" s="142"/>
    </row>
    <row r="78" spans="1:8" ht="15" customHeight="1">
      <c r="A78" s="99"/>
      <c r="B78" s="90"/>
      <c r="C78" s="91" t="s">
        <v>1103</v>
      </c>
      <c r="D78" s="91" t="s">
        <v>1104</v>
      </c>
      <c r="E78" s="91" t="s">
        <v>1054</v>
      </c>
      <c r="F78" s="92" t="s">
        <v>1050</v>
      </c>
      <c r="G78" s="90"/>
      <c r="H78" s="100"/>
    </row>
    <row r="79" spans="1:8" ht="18" customHeight="1">
      <c r="A79" s="101" t="s">
        <v>1119</v>
      </c>
      <c r="B79" s="93" t="s">
        <v>1106</v>
      </c>
      <c r="C79" s="94">
        <v>0.3</v>
      </c>
      <c r="D79" s="94">
        <v>2.5</v>
      </c>
      <c r="E79" s="94">
        <v>1</v>
      </c>
      <c r="F79" s="95">
        <v>2.8</v>
      </c>
      <c r="G79" s="90"/>
      <c r="H79" s="100"/>
    </row>
    <row r="80" spans="1:8" ht="15" customHeight="1">
      <c r="A80" s="102"/>
      <c r="B80" s="96"/>
      <c r="C80" s="97"/>
      <c r="D80" s="97"/>
      <c r="E80" s="97"/>
      <c r="F80" s="98">
        <v>2.8</v>
      </c>
      <c r="G80" s="90"/>
      <c r="H80" s="100"/>
    </row>
    <row r="81" spans="1:8" ht="21.95" customHeight="1">
      <c r="A81" s="140" t="s">
        <v>1120</v>
      </c>
      <c r="B81" s="141"/>
      <c r="C81" s="141"/>
      <c r="D81" s="141"/>
      <c r="E81" s="141"/>
      <c r="F81" s="141"/>
      <c r="G81" s="141"/>
      <c r="H81" s="142"/>
    </row>
    <row r="82" spans="1:8" ht="15" customHeight="1">
      <c r="A82" s="99"/>
      <c r="B82" s="90"/>
      <c r="C82" s="91" t="s">
        <v>1103</v>
      </c>
      <c r="D82" s="91" t="s">
        <v>1104</v>
      </c>
      <c r="E82" s="91" t="s">
        <v>1054</v>
      </c>
      <c r="F82" s="92" t="s">
        <v>1050</v>
      </c>
      <c r="G82" s="90"/>
      <c r="H82" s="100"/>
    </row>
    <row r="83" spans="1:8" ht="18" customHeight="1">
      <c r="A83" s="101" t="s">
        <v>1105</v>
      </c>
      <c r="B83" s="93" t="s">
        <v>1106</v>
      </c>
      <c r="C83" s="94">
        <v>0.3</v>
      </c>
      <c r="D83" s="94">
        <v>0.5</v>
      </c>
      <c r="E83" s="94">
        <v>4</v>
      </c>
      <c r="F83" s="95">
        <v>3.2</v>
      </c>
      <c r="G83" s="90"/>
      <c r="H83" s="100"/>
    </row>
    <row r="84" spans="1:8" ht="18" customHeight="1">
      <c r="A84" s="101" t="s">
        <v>1107</v>
      </c>
      <c r="B84" s="93" t="s">
        <v>1106</v>
      </c>
      <c r="C84" s="94">
        <v>0.3</v>
      </c>
      <c r="D84" s="94">
        <v>1</v>
      </c>
      <c r="E84" s="94">
        <v>2</v>
      </c>
      <c r="F84" s="95">
        <v>2.6</v>
      </c>
      <c r="G84" s="90"/>
      <c r="H84" s="100"/>
    </row>
    <row r="85" spans="1:8" ht="18" customHeight="1">
      <c r="A85" s="101" t="s">
        <v>1108</v>
      </c>
      <c r="B85" s="93" t="s">
        <v>1106</v>
      </c>
      <c r="C85" s="94">
        <v>0.3</v>
      </c>
      <c r="D85" s="94">
        <v>0.5</v>
      </c>
      <c r="E85" s="94">
        <v>1</v>
      </c>
      <c r="F85" s="95">
        <v>0.8</v>
      </c>
      <c r="G85" s="90"/>
      <c r="H85" s="100"/>
    </row>
    <row r="86" spans="1:8" ht="18" customHeight="1">
      <c r="A86" s="101" t="s">
        <v>1109</v>
      </c>
      <c r="B86" s="93" t="s">
        <v>1106</v>
      </c>
      <c r="C86" s="94">
        <v>0.3</v>
      </c>
      <c r="D86" s="94">
        <v>0.6</v>
      </c>
      <c r="E86" s="94">
        <v>1</v>
      </c>
      <c r="F86" s="95">
        <v>0.89999999999999991</v>
      </c>
      <c r="G86" s="90"/>
      <c r="H86" s="100"/>
    </row>
    <row r="87" spans="1:8" ht="18" customHeight="1">
      <c r="A87" s="101" t="s">
        <v>1110</v>
      </c>
      <c r="B87" s="93" t="s">
        <v>1106</v>
      </c>
      <c r="C87" s="94">
        <v>0.3</v>
      </c>
      <c r="D87" s="94">
        <v>1.5</v>
      </c>
      <c r="E87" s="94">
        <v>1</v>
      </c>
      <c r="F87" s="95">
        <v>1.8</v>
      </c>
      <c r="G87" s="90"/>
      <c r="H87" s="100"/>
    </row>
    <row r="88" spans="1:8" ht="15" customHeight="1">
      <c r="A88" s="102"/>
      <c r="B88" s="96"/>
      <c r="C88" s="97"/>
      <c r="D88" s="97"/>
      <c r="E88" s="97"/>
      <c r="F88" s="98">
        <v>9.3000000000000007</v>
      </c>
      <c r="G88" s="90"/>
      <c r="H88" s="100"/>
    </row>
    <row r="89" spans="1:8" ht="30" customHeight="1">
      <c r="A89" s="140" t="s">
        <v>1121</v>
      </c>
      <c r="B89" s="141"/>
      <c r="C89" s="141"/>
      <c r="D89" s="141"/>
      <c r="E89" s="141"/>
      <c r="F89" s="141"/>
      <c r="G89" s="141"/>
      <c r="H89" s="142"/>
    </row>
    <row r="90" spans="1:8" ht="15" customHeight="1">
      <c r="A90" s="99"/>
      <c r="B90" s="90"/>
      <c r="C90" s="91" t="s">
        <v>1122</v>
      </c>
      <c r="D90" s="91" t="s">
        <v>1123</v>
      </c>
      <c r="E90" s="91" t="s">
        <v>1059</v>
      </c>
      <c r="F90" s="91" t="s">
        <v>1049</v>
      </c>
      <c r="G90" s="92" t="s">
        <v>1050</v>
      </c>
      <c r="H90" s="100"/>
    </row>
    <row r="91" spans="1:8" ht="12.95" customHeight="1">
      <c r="A91" s="101" t="s">
        <v>1124</v>
      </c>
      <c r="B91" s="93" t="s">
        <v>1125</v>
      </c>
      <c r="C91" s="94">
        <v>0.3</v>
      </c>
      <c r="D91" s="94">
        <v>0.3</v>
      </c>
      <c r="E91" s="94">
        <v>106.5</v>
      </c>
      <c r="F91" s="94">
        <v>0.15</v>
      </c>
      <c r="G91" s="95">
        <v>79.875</v>
      </c>
      <c r="H91" s="100"/>
    </row>
    <row r="92" spans="1:8" ht="15" customHeight="1">
      <c r="A92" s="102"/>
      <c r="B92" s="96"/>
      <c r="C92" s="97"/>
      <c r="D92" s="97"/>
      <c r="E92" s="97"/>
      <c r="F92" s="97"/>
      <c r="G92" s="98">
        <v>79.88</v>
      </c>
      <c r="H92" s="100"/>
    </row>
    <row r="93" spans="1:8" ht="30" customHeight="1">
      <c r="A93" s="140" t="s">
        <v>1126</v>
      </c>
      <c r="B93" s="141"/>
      <c r="C93" s="141"/>
      <c r="D93" s="141"/>
      <c r="E93" s="141"/>
      <c r="F93" s="141"/>
      <c r="G93" s="141"/>
      <c r="H93" s="142"/>
    </row>
    <row r="94" spans="1:8" ht="15" customHeight="1">
      <c r="A94" s="99"/>
      <c r="B94" s="90"/>
      <c r="C94" s="91" t="s">
        <v>1059</v>
      </c>
      <c r="D94" s="91" t="s">
        <v>1049</v>
      </c>
      <c r="E94" s="92" t="s">
        <v>1050</v>
      </c>
      <c r="F94" s="90"/>
      <c r="G94" s="90"/>
      <c r="H94" s="100"/>
    </row>
    <row r="95" spans="1:8" ht="12.95" customHeight="1">
      <c r="A95" s="101" t="s">
        <v>1127</v>
      </c>
      <c r="B95" s="93" t="s">
        <v>1128</v>
      </c>
      <c r="C95" s="94">
        <v>3.8</v>
      </c>
      <c r="D95" s="94">
        <v>1.5</v>
      </c>
      <c r="E95" s="95">
        <v>5.6999999999999993</v>
      </c>
      <c r="F95" s="90"/>
      <c r="G95" s="90"/>
      <c r="H95" s="100"/>
    </row>
    <row r="96" spans="1:8" ht="12.95" customHeight="1">
      <c r="A96" s="101" t="s">
        <v>1129</v>
      </c>
      <c r="B96" s="93" t="s">
        <v>1128</v>
      </c>
      <c r="C96" s="94">
        <v>1.9</v>
      </c>
      <c r="D96" s="94">
        <v>1.5</v>
      </c>
      <c r="E96" s="95">
        <v>2.8499999999999996</v>
      </c>
      <c r="F96" s="90"/>
      <c r="G96" s="90"/>
      <c r="H96" s="100"/>
    </row>
    <row r="97" spans="1:8" ht="12.95" customHeight="1">
      <c r="A97" s="101" t="s">
        <v>1129</v>
      </c>
      <c r="B97" s="93" t="s">
        <v>1128</v>
      </c>
      <c r="C97" s="94">
        <v>1.9</v>
      </c>
      <c r="D97" s="94">
        <v>3.8</v>
      </c>
      <c r="E97" s="95">
        <v>7.22</v>
      </c>
      <c r="F97" s="90"/>
      <c r="G97" s="90"/>
      <c r="H97" s="100"/>
    </row>
    <row r="98" spans="1:8" ht="15" customHeight="1">
      <c r="A98" s="102"/>
      <c r="B98" s="96"/>
      <c r="C98" s="97"/>
      <c r="D98" s="97"/>
      <c r="E98" s="98">
        <v>15.77</v>
      </c>
      <c r="F98" s="90"/>
      <c r="G98" s="90"/>
      <c r="H98" s="100"/>
    </row>
    <row r="99" spans="1:8" ht="41.1" customHeight="1">
      <c r="A99" s="140" t="s">
        <v>1130</v>
      </c>
      <c r="B99" s="141"/>
      <c r="C99" s="141"/>
      <c r="D99" s="141"/>
      <c r="E99" s="141"/>
      <c r="F99" s="141"/>
      <c r="G99" s="141"/>
      <c r="H99" s="142"/>
    </row>
    <row r="100" spans="1:8" ht="15" customHeight="1">
      <c r="A100" s="99"/>
      <c r="B100" s="90"/>
      <c r="C100" s="91" t="s">
        <v>1078</v>
      </c>
      <c r="D100" s="91" t="s">
        <v>1104</v>
      </c>
      <c r="E100" s="92" t="s">
        <v>1050</v>
      </c>
      <c r="F100" s="90"/>
      <c r="G100" s="90"/>
      <c r="H100" s="100"/>
    </row>
    <row r="101" spans="1:8" ht="12.95" customHeight="1">
      <c r="A101" s="101" t="s">
        <v>1131</v>
      </c>
      <c r="B101" s="93" t="s">
        <v>1132</v>
      </c>
      <c r="C101" s="94">
        <v>2.7</v>
      </c>
      <c r="D101" s="94">
        <v>126.2</v>
      </c>
      <c r="E101" s="95">
        <v>340.74</v>
      </c>
      <c r="F101" s="90"/>
      <c r="G101" s="90"/>
      <c r="H101" s="100"/>
    </row>
    <row r="102" spans="1:8" ht="15" customHeight="1">
      <c r="A102" s="102"/>
      <c r="B102" s="96"/>
      <c r="C102" s="97"/>
      <c r="D102" s="97"/>
      <c r="E102" s="98">
        <v>340.74</v>
      </c>
      <c r="F102" s="90"/>
      <c r="G102" s="90"/>
      <c r="H102" s="100"/>
    </row>
    <row r="103" spans="1:8" ht="41.1" customHeight="1">
      <c r="A103" s="140" t="s">
        <v>1133</v>
      </c>
      <c r="B103" s="141"/>
      <c r="C103" s="141"/>
      <c r="D103" s="141"/>
      <c r="E103" s="141"/>
      <c r="F103" s="141"/>
      <c r="G103" s="141"/>
      <c r="H103" s="142"/>
    </row>
    <row r="104" spans="1:8" ht="15" customHeight="1">
      <c r="A104" s="99"/>
      <c r="B104" s="90"/>
      <c r="C104" s="91" t="s">
        <v>1048</v>
      </c>
      <c r="D104" s="91" t="s">
        <v>1049</v>
      </c>
      <c r="E104" s="92" t="s">
        <v>1050</v>
      </c>
      <c r="F104" s="90"/>
      <c r="G104" s="90"/>
      <c r="H104" s="100"/>
    </row>
    <row r="105" spans="1:8" ht="12.95" customHeight="1">
      <c r="A105" s="101" t="s">
        <v>1134</v>
      </c>
      <c r="B105" s="93" t="s">
        <v>1052</v>
      </c>
      <c r="C105" s="94">
        <v>1</v>
      </c>
      <c r="D105" s="94">
        <v>1.95</v>
      </c>
      <c r="E105" s="95">
        <v>1.95</v>
      </c>
      <c r="F105" s="90"/>
      <c r="G105" s="90"/>
      <c r="H105" s="100"/>
    </row>
    <row r="106" spans="1:8" ht="15" customHeight="1">
      <c r="A106" s="102"/>
      <c r="B106" s="96"/>
      <c r="C106" s="97"/>
      <c r="D106" s="97"/>
      <c r="E106" s="98">
        <v>1.95</v>
      </c>
      <c r="F106" s="90"/>
      <c r="G106" s="90"/>
      <c r="H106" s="100"/>
    </row>
    <row r="107" spans="1:8" ht="41.1" customHeight="1">
      <c r="A107" s="140" t="s">
        <v>1135</v>
      </c>
      <c r="B107" s="141"/>
      <c r="C107" s="141"/>
      <c r="D107" s="141"/>
      <c r="E107" s="141"/>
      <c r="F107" s="141"/>
      <c r="G107" s="141"/>
      <c r="H107" s="142"/>
    </row>
    <row r="108" spans="1:8" ht="15" customHeight="1">
      <c r="A108" s="99"/>
      <c r="B108" s="90"/>
      <c r="C108" s="91" t="s">
        <v>1048</v>
      </c>
      <c r="D108" s="91" t="s">
        <v>1049</v>
      </c>
      <c r="E108" s="92" t="s">
        <v>1050</v>
      </c>
      <c r="F108" s="90"/>
      <c r="G108" s="90"/>
      <c r="H108" s="100"/>
    </row>
    <row r="109" spans="1:8" ht="12.95" customHeight="1">
      <c r="A109" s="101" t="s">
        <v>1136</v>
      </c>
      <c r="B109" s="93" t="s">
        <v>1052</v>
      </c>
      <c r="C109" s="94">
        <v>1.9</v>
      </c>
      <c r="D109" s="94">
        <v>11.2</v>
      </c>
      <c r="E109" s="95">
        <v>21.279999999999998</v>
      </c>
      <c r="F109" s="90"/>
      <c r="G109" s="90"/>
      <c r="H109" s="100"/>
    </row>
    <row r="110" spans="1:8" ht="12.95" customHeight="1">
      <c r="A110" s="101" t="s">
        <v>1137</v>
      </c>
      <c r="B110" s="93" t="s">
        <v>1052</v>
      </c>
      <c r="C110" s="94">
        <v>1.1499999999999999</v>
      </c>
      <c r="D110" s="94">
        <v>45.1</v>
      </c>
      <c r="E110" s="95">
        <v>51.864999999999995</v>
      </c>
      <c r="F110" s="90"/>
      <c r="G110" s="90"/>
      <c r="H110" s="100"/>
    </row>
    <row r="111" spans="1:8" ht="15" customHeight="1">
      <c r="A111" s="102"/>
      <c r="B111" s="96"/>
      <c r="C111" s="97"/>
      <c r="D111" s="97"/>
      <c r="E111" s="98">
        <v>73.14</v>
      </c>
      <c r="F111" s="90"/>
      <c r="G111" s="90"/>
      <c r="H111" s="100"/>
    </row>
    <row r="112" spans="1:8" ht="21.95" customHeight="1">
      <c r="A112" s="140" t="s">
        <v>1138</v>
      </c>
      <c r="B112" s="141"/>
      <c r="C112" s="141"/>
      <c r="D112" s="141"/>
      <c r="E112" s="141"/>
      <c r="F112" s="141"/>
      <c r="G112" s="141"/>
      <c r="H112" s="142"/>
    </row>
    <row r="113" spans="1:8" ht="15" customHeight="1">
      <c r="A113" s="99"/>
      <c r="B113" s="90"/>
      <c r="C113" s="91" t="s">
        <v>1048</v>
      </c>
      <c r="D113" s="91" t="s">
        <v>1049</v>
      </c>
      <c r="E113" s="92" t="s">
        <v>1050</v>
      </c>
      <c r="F113" s="90"/>
      <c r="G113" s="90"/>
      <c r="H113" s="100"/>
    </row>
    <row r="114" spans="1:8" ht="12.95" customHeight="1">
      <c r="A114" s="101" t="s">
        <v>1139</v>
      </c>
      <c r="B114" s="93" t="s">
        <v>1052</v>
      </c>
      <c r="C114" s="94">
        <v>2.1</v>
      </c>
      <c r="D114" s="94">
        <v>1.2</v>
      </c>
      <c r="E114" s="95">
        <v>2.52</v>
      </c>
      <c r="F114" s="90"/>
      <c r="G114" s="90"/>
      <c r="H114" s="100"/>
    </row>
    <row r="115" spans="1:8" ht="12.95" customHeight="1">
      <c r="A115" s="101" t="s">
        <v>1140</v>
      </c>
      <c r="B115" s="93" t="s">
        <v>1052</v>
      </c>
      <c r="C115" s="94">
        <v>2.1</v>
      </c>
      <c r="D115" s="94">
        <v>2.5</v>
      </c>
      <c r="E115" s="95">
        <v>5.25</v>
      </c>
      <c r="F115" s="90"/>
      <c r="G115" s="90"/>
      <c r="H115" s="100"/>
    </row>
    <row r="116" spans="1:8" ht="15" customHeight="1">
      <c r="A116" s="102"/>
      <c r="B116" s="96"/>
      <c r="C116" s="97"/>
      <c r="D116" s="97"/>
      <c r="E116" s="98">
        <v>7.77</v>
      </c>
      <c r="F116" s="90"/>
      <c r="G116" s="90"/>
      <c r="H116" s="100"/>
    </row>
    <row r="117" spans="1:8" ht="30" customHeight="1">
      <c r="A117" s="140" t="s">
        <v>1141</v>
      </c>
      <c r="B117" s="141"/>
      <c r="C117" s="141"/>
      <c r="D117" s="141"/>
      <c r="E117" s="141"/>
      <c r="F117" s="141"/>
      <c r="G117" s="141"/>
      <c r="H117" s="142"/>
    </row>
    <row r="118" spans="1:8" ht="15" customHeight="1">
      <c r="A118" s="99"/>
      <c r="B118" s="90"/>
      <c r="C118" s="91" t="s">
        <v>1048</v>
      </c>
      <c r="D118" s="91" t="s">
        <v>1049</v>
      </c>
      <c r="E118" s="91" t="s">
        <v>1054</v>
      </c>
      <c r="F118" s="92" t="s">
        <v>1050</v>
      </c>
      <c r="G118" s="90"/>
      <c r="H118" s="100"/>
    </row>
    <row r="119" spans="1:8" ht="12.95" customHeight="1">
      <c r="A119" s="101" t="s">
        <v>1142</v>
      </c>
      <c r="B119" s="93" t="s">
        <v>1086</v>
      </c>
      <c r="C119" s="94">
        <v>1.2</v>
      </c>
      <c r="D119" s="94">
        <v>0.8</v>
      </c>
      <c r="E119" s="94">
        <v>1</v>
      </c>
      <c r="F119" s="95">
        <v>0.96</v>
      </c>
      <c r="G119" s="90"/>
      <c r="H119" s="100"/>
    </row>
    <row r="120" spans="1:8" ht="12.95" customHeight="1">
      <c r="A120" s="101" t="s">
        <v>1143</v>
      </c>
      <c r="B120" s="93" t="s">
        <v>1086</v>
      </c>
      <c r="C120" s="94">
        <v>2.8</v>
      </c>
      <c r="D120" s="94">
        <v>2.4</v>
      </c>
      <c r="E120" s="94">
        <v>1</v>
      </c>
      <c r="F120" s="95">
        <v>6.72</v>
      </c>
      <c r="G120" s="90"/>
      <c r="H120" s="100"/>
    </row>
    <row r="121" spans="1:8" ht="12.95" customHeight="1">
      <c r="A121" s="101" t="s">
        <v>1144</v>
      </c>
      <c r="B121" s="93" t="s">
        <v>1086</v>
      </c>
      <c r="C121" s="94">
        <v>2.5</v>
      </c>
      <c r="D121" s="94">
        <v>2.4</v>
      </c>
      <c r="E121" s="94">
        <v>1</v>
      </c>
      <c r="F121" s="95">
        <v>6</v>
      </c>
      <c r="G121" s="90"/>
      <c r="H121" s="100"/>
    </row>
    <row r="122" spans="1:8" ht="15" customHeight="1">
      <c r="A122" s="102"/>
      <c r="B122" s="96"/>
      <c r="C122" s="97"/>
      <c r="D122" s="97"/>
      <c r="E122" s="97"/>
      <c r="F122" s="98">
        <v>13.68</v>
      </c>
      <c r="G122" s="90"/>
      <c r="H122" s="100"/>
    </row>
    <row r="123" spans="1:8" ht="21.95" customHeight="1">
      <c r="A123" s="140" t="s">
        <v>1145</v>
      </c>
      <c r="B123" s="141"/>
      <c r="C123" s="141"/>
      <c r="D123" s="141"/>
      <c r="E123" s="141"/>
      <c r="F123" s="141"/>
      <c r="G123" s="141"/>
      <c r="H123" s="142"/>
    </row>
    <row r="124" spans="1:8" ht="15" customHeight="1">
      <c r="A124" s="99"/>
      <c r="B124" s="90"/>
      <c r="C124" s="91" t="s">
        <v>1048</v>
      </c>
      <c r="D124" s="91" t="s">
        <v>1049</v>
      </c>
      <c r="E124" s="91" t="s">
        <v>1054</v>
      </c>
      <c r="F124" s="92" t="s">
        <v>1050</v>
      </c>
      <c r="G124" s="90"/>
      <c r="H124" s="100"/>
    </row>
    <row r="125" spans="1:8" ht="12.95" customHeight="1">
      <c r="A125" s="101" t="s">
        <v>1146</v>
      </c>
      <c r="B125" s="93" t="s">
        <v>1147</v>
      </c>
      <c r="C125" s="94">
        <v>0.5</v>
      </c>
      <c r="D125" s="94">
        <v>0.5</v>
      </c>
      <c r="E125" s="94">
        <v>4</v>
      </c>
      <c r="F125" s="95">
        <v>1</v>
      </c>
      <c r="G125" s="90"/>
      <c r="H125" s="100"/>
    </row>
    <row r="126" spans="1:8" ht="12.95" customHeight="1">
      <c r="A126" s="101" t="s">
        <v>1148</v>
      </c>
      <c r="B126" s="93" t="s">
        <v>1147</v>
      </c>
      <c r="C126" s="94">
        <v>0.5</v>
      </c>
      <c r="D126" s="94">
        <v>1</v>
      </c>
      <c r="E126" s="94">
        <v>2</v>
      </c>
      <c r="F126" s="95">
        <v>1</v>
      </c>
      <c r="G126" s="90"/>
      <c r="H126" s="100"/>
    </row>
    <row r="127" spans="1:8" ht="12.95" customHeight="1">
      <c r="A127" s="101" t="s">
        <v>1149</v>
      </c>
      <c r="B127" s="93" t="s">
        <v>1147</v>
      </c>
      <c r="C127" s="94">
        <v>2.1</v>
      </c>
      <c r="D127" s="94">
        <v>0.5</v>
      </c>
      <c r="E127" s="94">
        <v>1</v>
      </c>
      <c r="F127" s="95">
        <v>1.05</v>
      </c>
      <c r="G127" s="90"/>
      <c r="H127" s="100"/>
    </row>
    <row r="128" spans="1:8" ht="12.95" customHeight="1">
      <c r="A128" s="101" t="s">
        <v>1150</v>
      </c>
      <c r="B128" s="93" t="s">
        <v>1147</v>
      </c>
      <c r="C128" s="94">
        <v>0.4</v>
      </c>
      <c r="D128" s="94">
        <v>1.5</v>
      </c>
      <c r="E128" s="94">
        <v>1</v>
      </c>
      <c r="F128" s="95">
        <v>0.60000000000000009</v>
      </c>
      <c r="G128" s="90"/>
      <c r="H128" s="100"/>
    </row>
    <row r="129" spans="1:8" ht="12.95" customHeight="1">
      <c r="A129" s="101" t="s">
        <v>1151</v>
      </c>
      <c r="B129" s="93" t="s">
        <v>1147</v>
      </c>
      <c r="C129" s="94">
        <v>1.2</v>
      </c>
      <c r="D129" s="94">
        <v>0.6</v>
      </c>
      <c r="E129" s="94">
        <v>1</v>
      </c>
      <c r="F129" s="95">
        <v>0.72</v>
      </c>
      <c r="G129" s="90"/>
      <c r="H129" s="100"/>
    </row>
    <row r="130" spans="1:8" ht="15" customHeight="1">
      <c r="A130" s="102"/>
      <c r="B130" s="96"/>
      <c r="C130" s="97"/>
      <c r="D130" s="97"/>
      <c r="E130" s="97"/>
      <c r="F130" s="98">
        <v>4.3699999999999992</v>
      </c>
      <c r="G130" s="90"/>
      <c r="H130" s="100"/>
    </row>
    <row r="131" spans="1:8" ht="21.95" customHeight="1">
      <c r="A131" s="140" t="s">
        <v>1152</v>
      </c>
      <c r="B131" s="141"/>
      <c r="C131" s="141"/>
      <c r="D131" s="141"/>
      <c r="E131" s="141"/>
      <c r="F131" s="141"/>
      <c r="G131" s="141"/>
      <c r="H131" s="142"/>
    </row>
    <row r="132" spans="1:8" ht="15" customHeight="1">
      <c r="A132" s="99"/>
      <c r="B132" s="90"/>
      <c r="C132" s="91" t="s">
        <v>1048</v>
      </c>
      <c r="D132" s="91" t="s">
        <v>1049</v>
      </c>
      <c r="E132" s="91" t="s">
        <v>1054</v>
      </c>
      <c r="F132" s="92" t="s">
        <v>1050</v>
      </c>
      <c r="G132" s="90"/>
      <c r="H132" s="100"/>
    </row>
    <row r="133" spans="1:8" ht="12.95" customHeight="1">
      <c r="A133" s="101" t="s">
        <v>1153</v>
      </c>
      <c r="B133" s="93" t="s">
        <v>1147</v>
      </c>
      <c r="C133" s="94">
        <v>0.2</v>
      </c>
      <c r="D133" s="94">
        <v>0.2</v>
      </c>
      <c r="E133" s="94">
        <v>63</v>
      </c>
      <c r="F133" s="95">
        <v>2.5200000000000005</v>
      </c>
      <c r="G133" s="90"/>
      <c r="H133" s="100"/>
    </row>
    <row r="134" spans="1:8" ht="15" customHeight="1">
      <c r="A134" s="102"/>
      <c r="B134" s="96"/>
      <c r="C134" s="97"/>
      <c r="D134" s="97"/>
      <c r="E134" s="97"/>
      <c r="F134" s="98">
        <v>2.52</v>
      </c>
      <c r="G134" s="90"/>
      <c r="H134" s="100"/>
    </row>
    <row r="135" spans="1:8" ht="30" customHeight="1">
      <c r="A135" s="143" t="s">
        <v>1222</v>
      </c>
      <c r="B135" s="141"/>
      <c r="C135" s="141"/>
      <c r="D135" s="141"/>
      <c r="E135" s="141"/>
      <c r="F135" s="141"/>
      <c r="G135" s="141"/>
      <c r="H135" s="142"/>
    </row>
    <row r="136" spans="1:8" ht="15" customHeight="1">
      <c r="A136" s="99"/>
      <c r="B136" s="90"/>
      <c r="C136" s="91" t="s">
        <v>1048</v>
      </c>
      <c r="D136" s="91" t="s">
        <v>1054</v>
      </c>
      <c r="E136" s="92" t="s">
        <v>1050</v>
      </c>
      <c r="F136" s="90"/>
      <c r="G136" s="90"/>
      <c r="H136" s="100"/>
    </row>
    <row r="137" spans="1:8" ht="12.95" customHeight="1">
      <c r="A137" s="101" t="s">
        <v>1154</v>
      </c>
      <c r="B137" s="93" t="s">
        <v>1155</v>
      </c>
      <c r="C137" s="94">
        <v>3.07</v>
      </c>
      <c r="D137" s="94">
        <v>14</v>
      </c>
      <c r="E137" s="95">
        <v>42.98</v>
      </c>
      <c r="F137" s="90"/>
      <c r="G137" s="90"/>
      <c r="H137" s="100"/>
    </row>
    <row r="138" spans="1:8" ht="15" customHeight="1">
      <c r="A138" s="102"/>
      <c r="B138" s="96"/>
      <c r="C138" s="97"/>
      <c r="D138" s="97"/>
      <c r="E138" s="98">
        <v>42.98</v>
      </c>
      <c r="F138" s="90"/>
      <c r="G138" s="90"/>
      <c r="H138" s="100"/>
    </row>
    <row r="139" spans="1:8" ht="21.95" customHeight="1">
      <c r="A139" s="140" t="s">
        <v>1156</v>
      </c>
      <c r="B139" s="141"/>
      <c r="C139" s="141"/>
      <c r="D139" s="141"/>
      <c r="E139" s="141"/>
      <c r="F139" s="141"/>
      <c r="G139" s="141"/>
      <c r="H139" s="142"/>
    </row>
    <row r="140" spans="1:8" ht="15" customHeight="1">
      <c r="A140" s="99"/>
      <c r="B140" s="90"/>
      <c r="C140" s="91" t="s">
        <v>1157</v>
      </c>
      <c r="D140" s="91" t="s">
        <v>1158</v>
      </c>
      <c r="E140" s="91" t="s">
        <v>1063</v>
      </c>
      <c r="F140" s="92" t="s">
        <v>1050</v>
      </c>
      <c r="G140" s="90"/>
      <c r="H140" s="100"/>
    </row>
    <row r="141" spans="1:8" ht="12.95" customHeight="1">
      <c r="A141" s="101" t="s">
        <v>1159</v>
      </c>
      <c r="B141" s="93" t="s">
        <v>1160</v>
      </c>
      <c r="C141" s="94">
        <v>4</v>
      </c>
      <c r="D141" s="94">
        <v>14</v>
      </c>
      <c r="E141" s="94">
        <v>0.22</v>
      </c>
      <c r="F141" s="95">
        <v>12.32</v>
      </c>
      <c r="G141" s="90"/>
      <c r="H141" s="100"/>
    </row>
    <row r="142" spans="1:8" ht="15" customHeight="1">
      <c r="A142" s="102"/>
      <c r="B142" s="96"/>
      <c r="C142" s="97"/>
      <c r="D142" s="97"/>
      <c r="E142" s="97"/>
      <c r="F142" s="98">
        <v>12.32</v>
      </c>
      <c r="G142" s="90"/>
      <c r="H142" s="100"/>
    </row>
    <row r="143" spans="1:8" ht="41.1" customHeight="1">
      <c r="A143" s="140" t="s">
        <v>1161</v>
      </c>
      <c r="B143" s="141"/>
      <c r="C143" s="141"/>
      <c r="D143" s="141"/>
      <c r="E143" s="141"/>
      <c r="F143" s="141"/>
      <c r="G143" s="141"/>
      <c r="H143" s="142"/>
    </row>
    <row r="144" spans="1:8" ht="15" customHeight="1">
      <c r="A144" s="99"/>
      <c r="B144" s="90"/>
      <c r="C144" s="91" t="s">
        <v>1048</v>
      </c>
      <c r="D144" s="91" t="s">
        <v>1059</v>
      </c>
      <c r="E144" s="91" t="s">
        <v>1054</v>
      </c>
      <c r="F144" s="92" t="s">
        <v>1050</v>
      </c>
      <c r="G144" s="90"/>
      <c r="H144" s="100"/>
    </row>
    <row r="145" spans="1:8" ht="12.95" customHeight="1">
      <c r="A145" s="101" t="s">
        <v>1162</v>
      </c>
      <c r="B145" s="93" t="s">
        <v>1163</v>
      </c>
      <c r="C145" s="94">
        <v>3</v>
      </c>
      <c r="D145" s="94">
        <v>84.93</v>
      </c>
      <c r="E145" s="94">
        <v>2</v>
      </c>
      <c r="F145" s="95">
        <v>509.58000000000004</v>
      </c>
      <c r="G145" s="90"/>
      <c r="H145" s="100"/>
    </row>
    <row r="146" spans="1:8" ht="12.95" customHeight="1">
      <c r="A146" s="101" t="s">
        <v>1164</v>
      </c>
      <c r="B146" s="93" t="s">
        <v>1163</v>
      </c>
      <c r="C146" s="94">
        <v>3</v>
      </c>
      <c r="D146" s="94">
        <v>36.82</v>
      </c>
      <c r="E146" s="94">
        <v>1</v>
      </c>
      <c r="F146" s="95">
        <v>110.46000000000001</v>
      </c>
      <c r="G146" s="90"/>
      <c r="H146" s="100"/>
    </row>
    <row r="147" spans="1:8" ht="12.95" customHeight="1">
      <c r="A147" s="101" t="s">
        <v>1165</v>
      </c>
      <c r="B147" s="93" t="s">
        <v>1163</v>
      </c>
      <c r="C147" s="94">
        <v>2.5</v>
      </c>
      <c r="D147" s="94">
        <v>23.48</v>
      </c>
      <c r="E147" s="94">
        <v>1</v>
      </c>
      <c r="F147" s="95">
        <v>58.7</v>
      </c>
      <c r="G147" s="90"/>
      <c r="H147" s="100"/>
    </row>
    <row r="148" spans="1:8" ht="12.95" customHeight="1">
      <c r="A148" s="101" t="s">
        <v>1166</v>
      </c>
      <c r="B148" s="93" t="s">
        <v>1163</v>
      </c>
      <c r="C148" s="94">
        <v>1</v>
      </c>
      <c r="D148" s="94">
        <v>45.92</v>
      </c>
      <c r="E148" s="94">
        <v>1</v>
      </c>
      <c r="F148" s="95">
        <v>45.92</v>
      </c>
      <c r="G148" s="90"/>
      <c r="H148" s="100"/>
    </row>
    <row r="149" spans="1:8" ht="12.95" customHeight="1">
      <c r="A149" s="101" t="s">
        <v>1167</v>
      </c>
      <c r="B149" s="93" t="s">
        <v>1163</v>
      </c>
      <c r="C149" s="94">
        <v>1.9</v>
      </c>
      <c r="D149" s="94">
        <v>11.24</v>
      </c>
      <c r="E149" s="94">
        <v>2</v>
      </c>
      <c r="F149" s="95">
        <v>42.711999999999996</v>
      </c>
      <c r="G149" s="90"/>
      <c r="H149" s="100"/>
    </row>
    <row r="150" spans="1:8" ht="15" customHeight="1">
      <c r="A150" s="102"/>
      <c r="B150" s="96"/>
      <c r="C150" s="97"/>
      <c r="D150" s="97"/>
      <c r="E150" s="97"/>
      <c r="F150" s="98">
        <v>767.37</v>
      </c>
      <c r="G150" s="90"/>
      <c r="H150" s="100"/>
    </row>
    <row r="151" spans="1:8" ht="30" customHeight="1">
      <c r="A151" s="140" t="s">
        <v>1168</v>
      </c>
      <c r="B151" s="141"/>
      <c r="C151" s="141"/>
      <c r="D151" s="141"/>
      <c r="E151" s="141"/>
      <c r="F151" s="141"/>
      <c r="G151" s="141"/>
      <c r="H151" s="142"/>
    </row>
    <row r="152" spans="1:8" ht="15" customHeight="1">
      <c r="A152" s="99"/>
      <c r="B152" s="90"/>
      <c r="C152" s="91" t="s">
        <v>1048</v>
      </c>
      <c r="D152" s="92" t="s">
        <v>1050</v>
      </c>
      <c r="E152" s="90"/>
      <c r="F152" s="90"/>
      <c r="G152" s="90"/>
      <c r="H152" s="100"/>
    </row>
    <row r="153" spans="1:8" ht="12.95" customHeight="1">
      <c r="A153" s="101" t="s">
        <v>1169</v>
      </c>
      <c r="B153" s="93" t="s">
        <v>1170</v>
      </c>
      <c r="C153" s="94">
        <v>21.85</v>
      </c>
      <c r="D153" s="95">
        <v>21.85</v>
      </c>
      <c r="E153" s="90"/>
      <c r="F153" s="90"/>
      <c r="G153" s="90"/>
      <c r="H153" s="100"/>
    </row>
    <row r="154" spans="1:8" ht="12.95" customHeight="1">
      <c r="A154" s="101" t="s">
        <v>1171</v>
      </c>
      <c r="B154" s="93" t="s">
        <v>1170</v>
      </c>
      <c r="C154" s="94">
        <v>24.95</v>
      </c>
      <c r="D154" s="95">
        <v>24.95</v>
      </c>
      <c r="E154" s="90"/>
      <c r="F154" s="90"/>
      <c r="G154" s="90"/>
      <c r="H154" s="100"/>
    </row>
    <row r="155" spans="1:8" ht="12.95" customHeight="1">
      <c r="A155" s="101" t="s">
        <v>1172</v>
      </c>
      <c r="B155" s="93" t="s">
        <v>1170</v>
      </c>
      <c r="C155" s="94">
        <v>12.45</v>
      </c>
      <c r="D155" s="95">
        <v>12.45</v>
      </c>
      <c r="E155" s="90"/>
      <c r="F155" s="90"/>
      <c r="G155" s="90"/>
      <c r="H155" s="100"/>
    </row>
    <row r="156" spans="1:8" ht="12.95" customHeight="1">
      <c r="A156" s="101" t="s">
        <v>1173</v>
      </c>
      <c r="B156" s="93" t="s">
        <v>1170</v>
      </c>
      <c r="C156" s="94">
        <v>9.0500000000000007</v>
      </c>
      <c r="D156" s="95">
        <v>9.0500000000000007</v>
      </c>
      <c r="E156" s="90"/>
      <c r="F156" s="90"/>
      <c r="G156" s="90"/>
      <c r="H156" s="100"/>
    </row>
    <row r="157" spans="1:8" ht="12.95" customHeight="1">
      <c r="A157" s="101" t="s">
        <v>1174</v>
      </c>
      <c r="B157" s="93" t="s">
        <v>1170</v>
      </c>
      <c r="C157" s="94">
        <v>2.5499999999999998</v>
      </c>
      <c r="D157" s="95">
        <v>2.5499999999999998</v>
      </c>
      <c r="E157" s="90"/>
      <c r="F157" s="90"/>
      <c r="G157" s="90"/>
      <c r="H157" s="100"/>
    </row>
    <row r="158" spans="1:8" ht="12.95" customHeight="1">
      <c r="A158" s="101" t="s">
        <v>1175</v>
      </c>
      <c r="B158" s="93" t="s">
        <v>1170</v>
      </c>
      <c r="C158" s="94">
        <v>1.65</v>
      </c>
      <c r="D158" s="95">
        <v>1.65</v>
      </c>
      <c r="E158" s="90"/>
      <c r="F158" s="90"/>
      <c r="G158" s="90"/>
      <c r="H158" s="100"/>
    </row>
    <row r="159" spans="1:8" ht="12.95" customHeight="1">
      <c r="A159" s="101" t="s">
        <v>1176</v>
      </c>
      <c r="B159" s="93" t="s">
        <v>1170</v>
      </c>
      <c r="C159" s="94">
        <v>12.35</v>
      </c>
      <c r="D159" s="95">
        <v>12.35</v>
      </c>
      <c r="E159" s="90"/>
      <c r="F159" s="90"/>
      <c r="G159" s="90"/>
      <c r="H159" s="100"/>
    </row>
    <row r="160" spans="1:8" ht="12.95" customHeight="1">
      <c r="A160" s="101" t="s">
        <v>1177</v>
      </c>
      <c r="B160" s="93" t="s">
        <v>1170</v>
      </c>
      <c r="C160" s="94">
        <v>1.65</v>
      </c>
      <c r="D160" s="95">
        <v>1.65</v>
      </c>
      <c r="E160" s="90"/>
      <c r="F160" s="90"/>
      <c r="G160" s="90"/>
      <c r="H160" s="100"/>
    </row>
    <row r="161" spans="1:8" ht="12.95" customHeight="1">
      <c r="A161" s="101" t="s">
        <v>1178</v>
      </c>
      <c r="B161" s="93" t="s">
        <v>1170</v>
      </c>
      <c r="C161" s="94">
        <v>8.6999999999999993</v>
      </c>
      <c r="D161" s="95">
        <v>8.6999999999999993</v>
      </c>
      <c r="E161" s="90"/>
      <c r="F161" s="90"/>
      <c r="G161" s="90"/>
      <c r="H161" s="100"/>
    </row>
    <row r="162" spans="1:8" ht="12.95" customHeight="1">
      <c r="A162" s="101" t="s">
        <v>1179</v>
      </c>
      <c r="B162" s="93" t="s">
        <v>1170</v>
      </c>
      <c r="C162" s="94">
        <v>4.8499999999999996</v>
      </c>
      <c r="D162" s="95">
        <v>4.8499999999999996</v>
      </c>
      <c r="E162" s="90"/>
      <c r="F162" s="90"/>
      <c r="G162" s="90"/>
      <c r="H162" s="100"/>
    </row>
    <row r="163" spans="1:8" ht="12.95" customHeight="1">
      <c r="A163" s="101" t="s">
        <v>1180</v>
      </c>
      <c r="B163" s="93" t="s">
        <v>1170</v>
      </c>
      <c r="C163" s="94">
        <v>19.55</v>
      </c>
      <c r="D163" s="95">
        <v>19.55</v>
      </c>
      <c r="E163" s="90"/>
      <c r="F163" s="90"/>
      <c r="G163" s="90"/>
      <c r="H163" s="100"/>
    </row>
    <row r="164" spans="1:8" ht="12.95" customHeight="1">
      <c r="A164" s="101" t="s">
        <v>1181</v>
      </c>
      <c r="B164" s="93" t="s">
        <v>1170</v>
      </c>
      <c r="C164" s="94">
        <v>3.85</v>
      </c>
      <c r="D164" s="95">
        <v>3.85</v>
      </c>
      <c r="E164" s="90"/>
      <c r="F164" s="90"/>
      <c r="G164" s="90"/>
      <c r="H164" s="100"/>
    </row>
    <row r="165" spans="1:8" ht="12.95" customHeight="1">
      <c r="A165" s="101" t="s">
        <v>1182</v>
      </c>
      <c r="B165" s="93" t="s">
        <v>1170</v>
      </c>
      <c r="C165" s="94">
        <v>1.2</v>
      </c>
      <c r="D165" s="95">
        <v>1.2</v>
      </c>
      <c r="E165" s="90"/>
      <c r="F165" s="90"/>
      <c r="G165" s="90"/>
      <c r="H165" s="100"/>
    </row>
    <row r="166" spans="1:8" ht="12.95" customHeight="1">
      <c r="A166" s="101" t="s">
        <v>1183</v>
      </c>
      <c r="B166" s="93" t="s">
        <v>1170</v>
      </c>
      <c r="C166" s="94">
        <v>1.65</v>
      </c>
      <c r="D166" s="95">
        <v>1.65</v>
      </c>
      <c r="E166" s="90"/>
      <c r="F166" s="90"/>
      <c r="G166" s="90"/>
      <c r="H166" s="100"/>
    </row>
    <row r="167" spans="1:8" ht="12.95" customHeight="1">
      <c r="A167" s="101" t="s">
        <v>1184</v>
      </c>
      <c r="B167" s="93" t="s">
        <v>1170</v>
      </c>
      <c r="C167" s="94">
        <v>1.1000000000000001</v>
      </c>
      <c r="D167" s="95">
        <v>1.1000000000000001</v>
      </c>
      <c r="E167" s="90"/>
      <c r="F167" s="90"/>
      <c r="G167" s="90"/>
      <c r="H167" s="100"/>
    </row>
    <row r="168" spans="1:8" ht="12.95" customHeight="1">
      <c r="A168" s="101" t="s">
        <v>1176</v>
      </c>
      <c r="B168" s="93" t="s">
        <v>1170</v>
      </c>
      <c r="C168" s="94">
        <v>8.0500000000000007</v>
      </c>
      <c r="D168" s="95">
        <v>8.0500000000000007</v>
      </c>
      <c r="E168" s="90"/>
      <c r="F168" s="90"/>
      <c r="G168" s="90"/>
      <c r="H168" s="100"/>
    </row>
    <row r="169" spans="1:8" ht="15" customHeight="1">
      <c r="A169" s="102"/>
      <c r="B169" s="96"/>
      <c r="C169" s="97"/>
      <c r="D169" s="98">
        <v>135.45000000000005</v>
      </c>
      <c r="E169" s="90"/>
      <c r="F169" s="90"/>
      <c r="G169" s="90"/>
      <c r="H169" s="100"/>
    </row>
    <row r="170" spans="1:8" ht="30" customHeight="1">
      <c r="A170" s="140" t="s">
        <v>1185</v>
      </c>
      <c r="B170" s="141"/>
      <c r="C170" s="141"/>
      <c r="D170" s="141"/>
      <c r="E170" s="141"/>
      <c r="F170" s="141"/>
      <c r="G170" s="141"/>
      <c r="H170" s="142"/>
    </row>
    <row r="171" spans="1:8" ht="15" customHeight="1">
      <c r="A171" s="99"/>
      <c r="B171" s="90"/>
      <c r="C171" s="91" t="s">
        <v>1048</v>
      </c>
      <c r="D171" s="92" t="s">
        <v>1050</v>
      </c>
      <c r="E171" s="90"/>
      <c r="F171" s="90"/>
      <c r="G171" s="90"/>
      <c r="H171" s="100"/>
    </row>
    <row r="172" spans="1:8" ht="12.95" customHeight="1">
      <c r="A172" s="101" t="s">
        <v>1186</v>
      </c>
      <c r="B172" s="93" t="s">
        <v>1170</v>
      </c>
      <c r="C172" s="94">
        <v>135.44999999999999</v>
      </c>
      <c r="D172" s="95">
        <v>135.44999999999999</v>
      </c>
      <c r="E172" s="90"/>
      <c r="F172" s="90"/>
      <c r="G172" s="90"/>
      <c r="H172" s="100"/>
    </row>
    <row r="173" spans="1:8" ht="15" customHeight="1">
      <c r="A173" s="102"/>
      <c r="B173" s="96"/>
      <c r="C173" s="97"/>
      <c r="D173" s="98">
        <v>135.44999999999999</v>
      </c>
      <c r="E173" s="90"/>
      <c r="F173" s="90"/>
      <c r="G173" s="90"/>
      <c r="H173" s="100"/>
    </row>
    <row r="174" spans="1:8" ht="21.95" customHeight="1">
      <c r="A174" s="140" t="s">
        <v>1187</v>
      </c>
      <c r="B174" s="141"/>
      <c r="C174" s="141"/>
      <c r="D174" s="141"/>
      <c r="E174" s="141"/>
      <c r="F174" s="141"/>
      <c r="G174" s="141"/>
      <c r="H174" s="142"/>
    </row>
    <row r="175" spans="1:8" ht="15" customHeight="1">
      <c r="A175" s="99"/>
      <c r="B175" s="90"/>
      <c r="C175" s="91" t="s">
        <v>1048</v>
      </c>
      <c r="D175" s="91" t="s">
        <v>1059</v>
      </c>
      <c r="E175" s="92" t="s">
        <v>1050</v>
      </c>
      <c r="F175" s="90"/>
      <c r="G175" s="90"/>
      <c r="H175" s="100"/>
    </row>
    <row r="176" spans="1:8" ht="18" customHeight="1">
      <c r="A176" s="101" t="s">
        <v>1188</v>
      </c>
      <c r="B176" s="93" t="s">
        <v>1189</v>
      </c>
      <c r="C176" s="94">
        <v>3</v>
      </c>
      <c r="D176" s="94">
        <v>52.21</v>
      </c>
      <c r="E176" s="95">
        <v>156.63</v>
      </c>
      <c r="F176" s="90"/>
      <c r="G176" s="90"/>
      <c r="H176" s="100"/>
    </row>
    <row r="177" spans="1:8" ht="15" customHeight="1">
      <c r="A177" s="102"/>
      <c r="B177" s="96"/>
      <c r="C177" s="97"/>
      <c r="D177" s="97"/>
      <c r="E177" s="98">
        <v>156.63</v>
      </c>
      <c r="F177" s="90"/>
      <c r="G177" s="90"/>
      <c r="H177" s="100"/>
    </row>
    <row r="178" spans="1:8" ht="21.95" customHeight="1">
      <c r="A178" s="140" t="s">
        <v>1190</v>
      </c>
      <c r="B178" s="141"/>
      <c r="C178" s="141"/>
      <c r="D178" s="141"/>
      <c r="E178" s="141"/>
      <c r="F178" s="141"/>
      <c r="G178" s="141"/>
      <c r="H178" s="142"/>
    </row>
    <row r="179" spans="1:8" ht="15" customHeight="1">
      <c r="A179" s="99"/>
      <c r="B179" s="90"/>
      <c r="C179" s="91" t="s">
        <v>1048</v>
      </c>
      <c r="D179" s="91" t="s">
        <v>1049</v>
      </c>
      <c r="E179" s="92" t="s">
        <v>1050</v>
      </c>
      <c r="F179" s="90"/>
      <c r="G179" s="90"/>
      <c r="H179" s="100"/>
    </row>
    <row r="180" spans="1:8" ht="12.95" customHeight="1">
      <c r="A180" s="101" t="s">
        <v>1191</v>
      </c>
      <c r="B180" s="93" t="s">
        <v>1052</v>
      </c>
      <c r="C180" s="94">
        <v>4.88</v>
      </c>
      <c r="D180" s="94">
        <v>2.2599999999999998</v>
      </c>
      <c r="E180" s="95">
        <v>11.028799999999999</v>
      </c>
      <c r="F180" s="90"/>
      <c r="G180" s="90"/>
      <c r="H180" s="100"/>
    </row>
    <row r="181" spans="1:8" ht="15" customHeight="1">
      <c r="A181" s="102"/>
      <c r="B181" s="96"/>
      <c r="C181" s="97"/>
      <c r="D181" s="97"/>
      <c r="E181" s="98">
        <v>11.03</v>
      </c>
      <c r="F181" s="90"/>
      <c r="G181" s="90"/>
      <c r="H181" s="100"/>
    </row>
    <row r="182" spans="1:8" ht="21.95" customHeight="1">
      <c r="A182" s="140" t="s">
        <v>1192</v>
      </c>
      <c r="B182" s="141"/>
      <c r="C182" s="141"/>
      <c r="D182" s="141"/>
      <c r="E182" s="141"/>
      <c r="F182" s="141"/>
      <c r="G182" s="141"/>
      <c r="H182" s="142"/>
    </row>
    <row r="183" spans="1:8" ht="15" customHeight="1">
      <c r="A183" s="99"/>
      <c r="B183" s="90"/>
      <c r="C183" s="91" t="s">
        <v>1193</v>
      </c>
      <c r="D183" s="91" t="s">
        <v>1194</v>
      </c>
      <c r="E183" s="92" t="s">
        <v>1050</v>
      </c>
      <c r="F183" s="90"/>
      <c r="G183" s="90"/>
      <c r="H183" s="100"/>
    </row>
    <row r="184" spans="1:8" ht="18" customHeight="1">
      <c r="A184" s="101" t="s">
        <v>1195</v>
      </c>
      <c r="B184" s="93" t="s">
        <v>1196</v>
      </c>
      <c r="C184" s="94">
        <v>156.63</v>
      </c>
      <c r="D184" s="94">
        <v>767.37</v>
      </c>
      <c r="E184" s="95">
        <v>610.74</v>
      </c>
      <c r="F184" s="90"/>
      <c r="G184" s="90"/>
      <c r="H184" s="100"/>
    </row>
    <row r="185" spans="1:8" ht="15" customHeight="1">
      <c r="A185" s="102"/>
      <c r="B185" s="96"/>
      <c r="C185" s="97"/>
      <c r="D185" s="97"/>
      <c r="E185" s="98">
        <v>610.74</v>
      </c>
      <c r="F185" s="90"/>
      <c r="G185" s="90"/>
      <c r="H185" s="100"/>
    </row>
    <row r="186" spans="1:8" ht="21.95" customHeight="1">
      <c r="A186" s="140" t="s">
        <v>1197</v>
      </c>
      <c r="B186" s="141"/>
      <c r="C186" s="141"/>
      <c r="D186" s="141"/>
      <c r="E186" s="141"/>
      <c r="F186" s="141"/>
      <c r="G186" s="141"/>
      <c r="H186" s="142"/>
    </row>
    <row r="187" spans="1:8" ht="15" customHeight="1">
      <c r="A187" s="99"/>
      <c r="B187" s="90"/>
      <c r="C187" s="91" t="s">
        <v>1104</v>
      </c>
      <c r="D187" s="91" t="s">
        <v>1054</v>
      </c>
      <c r="E187" s="92" t="s">
        <v>1050</v>
      </c>
      <c r="F187" s="90"/>
      <c r="G187" s="90"/>
      <c r="H187" s="100"/>
    </row>
    <row r="188" spans="1:8" ht="12.95" customHeight="1">
      <c r="A188" s="101" t="s">
        <v>1105</v>
      </c>
      <c r="B188" s="93" t="s">
        <v>1198</v>
      </c>
      <c r="C188" s="94">
        <v>0.5</v>
      </c>
      <c r="D188" s="94">
        <v>4</v>
      </c>
      <c r="E188" s="95">
        <v>2</v>
      </c>
      <c r="F188" s="90"/>
      <c r="G188" s="90"/>
      <c r="H188" s="100"/>
    </row>
    <row r="189" spans="1:8" ht="12.95" customHeight="1">
      <c r="A189" s="101" t="s">
        <v>1107</v>
      </c>
      <c r="B189" s="93" t="s">
        <v>1198</v>
      </c>
      <c r="C189" s="94">
        <v>1</v>
      </c>
      <c r="D189" s="94">
        <v>2</v>
      </c>
      <c r="E189" s="95">
        <v>2</v>
      </c>
      <c r="F189" s="90"/>
      <c r="G189" s="90"/>
      <c r="H189" s="100"/>
    </row>
    <row r="190" spans="1:8" ht="12.95" customHeight="1">
      <c r="A190" s="101" t="s">
        <v>1108</v>
      </c>
      <c r="B190" s="93" t="s">
        <v>1198</v>
      </c>
      <c r="C190" s="94">
        <v>0.5</v>
      </c>
      <c r="D190" s="94">
        <v>1</v>
      </c>
      <c r="E190" s="95">
        <v>0.5</v>
      </c>
      <c r="F190" s="90"/>
      <c r="G190" s="90"/>
      <c r="H190" s="100"/>
    </row>
    <row r="191" spans="1:8" ht="12.95" customHeight="1">
      <c r="A191" s="101" t="s">
        <v>1109</v>
      </c>
      <c r="B191" s="93" t="s">
        <v>1198</v>
      </c>
      <c r="C191" s="94">
        <v>0.6</v>
      </c>
      <c r="D191" s="94">
        <v>1</v>
      </c>
      <c r="E191" s="95">
        <v>0.6</v>
      </c>
      <c r="F191" s="90"/>
      <c r="G191" s="90"/>
      <c r="H191" s="100"/>
    </row>
    <row r="192" spans="1:8" ht="12.95" customHeight="1">
      <c r="A192" s="101" t="s">
        <v>1110</v>
      </c>
      <c r="B192" s="93" t="s">
        <v>1198</v>
      </c>
      <c r="C192" s="94">
        <v>1.5</v>
      </c>
      <c r="D192" s="94">
        <v>1</v>
      </c>
      <c r="E192" s="95">
        <v>1.5</v>
      </c>
      <c r="F192" s="90"/>
      <c r="G192" s="90"/>
      <c r="H192" s="100"/>
    </row>
    <row r="193" spans="1:8" ht="15" customHeight="1">
      <c r="A193" s="102"/>
      <c r="B193" s="96"/>
      <c r="C193" s="97"/>
      <c r="D193" s="97"/>
      <c r="E193" s="98">
        <v>6.6</v>
      </c>
      <c r="F193" s="90"/>
      <c r="G193" s="90"/>
      <c r="H193" s="100"/>
    </row>
    <row r="194" spans="1:8" ht="21.95" customHeight="1">
      <c r="A194" s="140" t="s">
        <v>1199</v>
      </c>
      <c r="B194" s="141"/>
      <c r="C194" s="141"/>
      <c r="D194" s="141"/>
      <c r="E194" s="141"/>
      <c r="F194" s="141"/>
      <c r="G194" s="141"/>
      <c r="H194" s="142"/>
    </row>
    <row r="195" spans="1:8" ht="15" customHeight="1">
      <c r="A195" s="99"/>
      <c r="B195" s="90"/>
      <c r="C195" s="91" t="s">
        <v>1059</v>
      </c>
      <c r="D195" s="91" t="s">
        <v>1054</v>
      </c>
      <c r="E195" s="92" t="s">
        <v>1050</v>
      </c>
      <c r="F195" s="90"/>
      <c r="G195" s="90"/>
      <c r="H195" s="100"/>
    </row>
    <row r="196" spans="1:8" ht="12.95" customHeight="1">
      <c r="A196" s="101" t="s">
        <v>1112</v>
      </c>
      <c r="B196" s="93" t="s">
        <v>1200</v>
      </c>
      <c r="C196" s="94">
        <v>0.6</v>
      </c>
      <c r="D196" s="94">
        <v>3</v>
      </c>
      <c r="E196" s="95">
        <v>1.7999999999999998</v>
      </c>
      <c r="F196" s="90"/>
      <c r="G196" s="90"/>
      <c r="H196" s="100"/>
    </row>
    <row r="197" spans="1:8" ht="12.95" customHeight="1">
      <c r="A197" s="101" t="s">
        <v>1113</v>
      </c>
      <c r="B197" s="93" t="s">
        <v>1200</v>
      </c>
      <c r="C197" s="94">
        <v>0.7</v>
      </c>
      <c r="D197" s="94">
        <v>1</v>
      </c>
      <c r="E197" s="95">
        <v>0.7</v>
      </c>
      <c r="F197" s="90"/>
      <c r="G197" s="90"/>
      <c r="H197" s="100"/>
    </row>
    <row r="198" spans="1:8" ht="12.95" customHeight="1">
      <c r="A198" s="101" t="s">
        <v>1114</v>
      </c>
      <c r="B198" s="93" t="s">
        <v>1200</v>
      </c>
      <c r="C198" s="94">
        <v>0.8</v>
      </c>
      <c r="D198" s="94">
        <v>3</v>
      </c>
      <c r="E198" s="95">
        <v>2.4000000000000004</v>
      </c>
      <c r="F198" s="90"/>
      <c r="G198" s="90"/>
      <c r="H198" s="100"/>
    </row>
    <row r="199" spans="1:8" ht="12.95" customHeight="1">
      <c r="A199" s="101" t="s">
        <v>1115</v>
      </c>
      <c r="B199" s="93" t="s">
        <v>1200</v>
      </c>
      <c r="C199" s="94">
        <v>0.8</v>
      </c>
      <c r="D199" s="94">
        <v>1</v>
      </c>
      <c r="E199" s="95">
        <v>0.8</v>
      </c>
      <c r="F199" s="90"/>
      <c r="G199" s="90"/>
      <c r="H199" s="100"/>
    </row>
    <row r="200" spans="1:8" ht="12.95" customHeight="1">
      <c r="A200" s="101" t="s">
        <v>1116</v>
      </c>
      <c r="B200" s="93" t="s">
        <v>1200</v>
      </c>
      <c r="C200" s="94">
        <v>0.9</v>
      </c>
      <c r="D200" s="94">
        <v>4</v>
      </c>
      <c r="E200" s="95">
        <v>3.6</v>
      </c>
      <c r="F200" s="90"/>
      <c r="G200" s="90"/>
      <c r="H200" s="100"/>
    </row>
    <row r="201" spans="1:8" ht="12.95" customHeight="1">
      <c r="A201" s="101" t="s">
        <v>1117</v>
      </c>
      <c r="B201" s="93" t="s">
        <v>1200</v>
      </c>
      <c r="C201" s="94">
        <v>1.2</v>
      </c>
      <c r="D201" s="94">
        <v>1</v>
      </c>
      <c r="E201" s="95">
        <v>1.2</v>
      </c>
      <c r="F201" s="90"/>
      <c r="G201" s="90"/>
      <c r="H201" s="100"/>
    </row>
    <row r="202" spans="1:8" ht="12.95" customHeight="1">
      <c r="A202" s="101" t="s">
        <v>1119</v>
      </c>
      <c r="B202" s="93" t="s">
        <v>1200</v>
      </c>
      <c r="C202" s="94">
        <v>2.5</v>
      </c>
      <c r="D202" s="94">
        <v>1</v>
      </c>
      <c r="E202" s="95">
        <v>2.5</v>
      </c>
      <c r="F202" s="90"/>
      <c r="G202" s="90"/>
      <c r="H202" s="100"/>
    </row>
    <row r="203" spans="1:8" ht="15" customHeight="1">
      <c r="A203" s="102"/>
      <c r="B203" s="96"/>
      <c r="C203" s="97"/>
      <c r="D203" s="97"/>
      <c r="E203" s="98">
        <v>13</v>
      </c>
      <c r="F203" s="90"/>
      <c r="G203" s="90"/>
      <c r="H203" s="100"/>
    </row>
    <row r="204" spans="1:8" ht="21.95" customHeight="1">
      <c r="A204" s="140" t="s">
        <v>1201</v>
      </c>
      <c r="B204" s="141"/>
      <c r="C204" s="141"/>
      <c r="D204" s="141"/>
      <c r="E204" s="141"/>
      <c r="F204" s="141"/>
      <c r="G204" s="141"/>
      <c r="H204" s="142"/>
    </row>
    <row r="205" spans="1:8" ht="15" customHeight="1">
      <c r="A205" s="99"/>
      <c r="B205" s="90"/>
      <c r="C205" s="91" t="s">
        <v>1059</v>
      </c>
      <c r="D205" s="91" t="s">
        <v>1049</v>
      </c>
      <c r="E205" s="91" t="s">
        <v>1054</v>
      </c>
      <c r="F205" s="92" t="s">
        <v>1050</v>
      </c>
      <c r="G205" s="90"/>
      <c r="H205" s="100"/>
    </row>
    <row r="206" spans="1:8" ht="12.95" customHeight="1">
      <c r="A206" s="101" t="s">
        <v>1119</v>
      </c>
      <c r="B206" s="93" t="s">
        <v>1202</v>
      </c>
      <c r="C206" s="94">
        <v>6.7</v>
      </c>
      <c r="D206" s="94">
        <v>0.05</v>
      </c>
      <c r="E206" s="94">
        <v>1</v>
      </c>
      <c r="F206" s="95">
        <v>0.33500000000000002</v>
      </c>
      <c r="G206" s="90"/>
      <c r="H206" s="100"/>
    </row>
    <row r="207" spans="1:8" ht="12.95" customHeight="1">
      <c r="A207" s="101" t="s">
        <v>1114</v>
      </c>
      <c r="B207" s="93" t="s">
        <v>1202</v>
      </c>
      <c r="C207" s="94">
        <v>0.8</v>
      </c>
      <c r="D207" s="94">
        <v>0.05</v>
      </c>
      <c r="E207" s="94">
        <v>1</v>
      </c>
      <c r="F207" s="95">
        <v>4.0000000000000008E-2</v>
      </c>
      <c r="G207" s="90"/>
      <c r="H207" s="100"/>
    </row>
    <row r="208" spans="1:8" ht="12.95" customHeight="1">
      <c r="A208" s="101" t="s">
        <v>1105</v>
      </c>
      <c r="B208" s="93" t="s">
        <v>1202</v>
      </c>
      <c r="C208" s="94">
        <v>0.5</v>
      </c>
      <c r="D208" s="94">
        <v>0.5</v>
      </c>
      <c r="E208" s="94">
        <v>4</v>
      </c>
      <c r="F208" s="95">
        <v>1</v>
      </c>
      <c r="G208" s="90"/>
      <c r="H208" s="100"/>
    </row>
    <row r="209" spans="1:8" ht="12.95" customHeight="1">
      <c r="A209" s="101" t="s">
        <v>1108</v>
      </c>
      <c r="B209" s="93" t="s">
        <v>1202</v>
      </c>
      <c r="C209" s="94">
        <v>0.5</v>
      </c>
      <c r="D209" s="94">
        <v>2.1</v>
      </c>
      <c r="E209" s="94">
        <v>1</v>
      </c>
      <c r="F209" s="95">
        <v>1.05</v>
      </c>
      <c r="G209" s="90"/>
      <c r="H209" s="100"/>
    </row>
    <row r="210" spans="1:8" ht="12.95" customHeight="1">
      <c r="A210" s="101" t="s">
        <v>1109</v>
      </c>
      <c r="B210" s="93" t="s">
        <v>1202</v>
      </c>
      <c r="C210" s="94">
        <v>0.6</v>
      </c>
      <c r="D210" s="94">
        <v>1.2</v>
      </c>
      <c r="E210" s="94">
        <v>1</v>
      </c>
      <c r="F210" s="95">
        <v>0.72</v>
      </c>
      <c r="G210" s="90"/>
      <c r="H210" s="100"/>
    </row>
    <row r="211" spans="1:8" ht="12.95" customHeight="1">
      <c r="A211" s="101" t="s">
        <v>1110</v>
      </c>
      <c r="B211" s="93" t="s">
        <v>1202</v>
      </c>
      <c r="C211" s="94">
        <v>1.5</v>
      </c>
      <c r="D211" s="94">
        <v>0.4</v>
      </c>
      <c r="E211" s="94">
        <v>1</v>
      </c>
      <c r="F211" s="95">
        <v>0.60000000000000009</v>
      </c>
      <c r="G211" s="90"/>
      <c r="H211" s="100"/>
    </row>
    <row r="212" spans="1:8" ht="15" customHeight="1">
      <c r="A212" s="102"/>
      <c r="B212" s="96"/>
      <c r="C212" s="97"/>
      <c r="D212" s="97"/>
      <c r="E212" s="97"/>
      <c r="F212" s="98">
        <v>3.7499999999999996</v>
      </c>
      <c r="G212" s="90"/>
      <c r="H212" s="100"/>
    </row>
    <row r="213" spans="1:8" ht="30" customHeight="1">
      <c r="A213" s="143" t="s">
        <v>1227</v>
      </c>
      <c r="B213" s="141"/>
      <c r="C213" s="141"/>
      <c r="D213" s="141"/>
      <c r="E213" s="141"/>
      <c r="F213" s="141"/>
      <c r="G213" s="141"/>
      <c r="H213" s="142"/>
    </row>
    <row r="214" spans="1:8" ht="21" customHeight="1">
      <c r="A214" s="119"/>
      <c r="B214" s="119"/>
      <c r="C214" s="120" t="s">
        <v>1048</v>
      </c>
      <c r="D214" s="121" t="s">
        <v>1228</v>
      </c>
      <c r="E214" s="116"/>
      <c r="F214" s="90"/>
      <c r="G214" s="90"/>
      <c r="H214" s="100"/>
    </row>
    <row r="215" spans="1:8" ht="12.95" customHeight="1">
      <c r="A215" s="127" t="s">
        <v>1229</v>
      </c>
      <c r="B215" s="122" t="s">
        <v>1170</v>
      </c>
      <c r="C215" s="123">
        <v>135.44999999999999</v>
      </c>
      <c r="D215" s="124">
        <f>C215</f>
        <v>135.44999999999999</v>
      </c>
      <c r="E215" s="117"/>
      <c r="F215" s="90"/>
      <c r="G215" s="90"/>
      <c r="H215" s="100"/>
    </row>
    <row r="216" spans="1:8" ht="12.95" customHeight="1">
      <c r="A216" s="122" t="s">
        <v>370</v>
      </c>
      <c r="B216" s="122" t="s">
        <v>1170</v>
      </c>
      <c r="C216" s="123">
        <v>0</v>
      </c>
      <c r="D216" s="124">
        <v>0</v>
      </c>
      <c r="E216" s="117"/>
      <c r="F216" s="90"/>
      <c r="G216" s="90"/>
      <c r="H216" s="100"/>
    </row>
    <row r="217" spans="1:8" ht="15" customHeight="1">
      <c r="A217" s="125"/>
      <c r="B217" s="125"/>
      <c r="C217" s="125"/>
      <c r="D217" s="126">
        <f>D215</f>
        <v>135.44999999999999</v>
      </c>
      <c r="E217" s="118"/>
      <c r="F217" s="90"/>
      <c r="G217" s="90"/>
      <c r="H217" s="100"/>
    </row>
    <row r="218" spans="1:8" ht="30" customHeight="1">
      <c r="A218" s="140" t="s">
        <v>1203</v>
      </c>
      <c r="B218" s="141"/>
      <c r="C218" s="141"/>
      <c r="D218" s="141"/>
      <c r="E218" s="141"/>
      <c r="F218" s="141"/>
      <c r="G218" s="141"/>
      <c r="H218" s="142"/>
    </row>
    <row r="219" spans="1:8" ht="15" customHeight="1">
      <c r="A219" s="99"/>
      <c r="B219" s="90"/>
      <c r="C219" s="91" t="s">
        <v>1048</v>
      </c>
      <c r="D219" s="92" t="s">
        <v>1050</v>
      </c>
      <c r="E219" s="90"/>
      <c r="F219" s="90"/>
      <c r="G219" s="90"/>
      <c r="H219" s="100"/>
    </row>
    <row r="220" spans="1:8" ht="12.95" customHeight="1">
      <c r="A220" s="101" t="s">
        <v>1204</v>
      </c>
      <c r="B220" s="93" t="s">
        <v>1170</v>
      </c>
      <c r="C220" s="94">
        <v>23.75</v>
      </c>
      <c r="D220" s="95">
        <v>23.75</v>
      </c>
      <c r="E220" s="90"/>
      <c r="F220" s="90"/>
      <c r="G220" s="90"/>
      <c r="H220" s="100"/>
    </row>
    <row r="221" spans="1:8" ht="18" customHeight="1">
      <c r="A221" s="101" t="s">
        <v>1205</v>
      </c>
      <c r="B221" s="93" t="s">
        <v>1170</v>
      </c>
      <c r="C221" s="94">
        <v>44.15</v>
      </c>
      <c r="D221" s="95">
        <v>44.15</v>
      </c>
      <c r="E221" s="90"/>
      <c r="F221" s="90"/>
      <c r="G221" s="90"/>
      <c r="H221" s="100"/>
    </row>
    <row r="222" spans="1:8" ht="15" customHeight="1">
      <c r="A222" s="102"/>
      <c r="B222" s="96"/>
      <c r="C222" s="97"/>
      <c r="D222" s="98">
        <v>67.900000000000006</v>
      </c>
      <c r="E222" s="90"/>
      <c r="F222" s="90"/>
      <c r="G222" s="90"/>
      <c r="H222" s="100"/>
    </row>
    <row r="223" spans="1:8" ht="21.95" customHeight="1">
      <c r="A223" s="140" t="s">
        <v>1206</v>
      </c>
      <c r="B223" s="141"/>
      <c r="C223" s="141"/>
      <c r="D223" s="141"/>
      <c r="E223" s="141"/>
      <c r="F223" s="141"/>
      <c r="G223" s="141"/>
      <c r="H223" s="142"/>
    </row>
    <row r="224" spans="1:8" ht="15" customHeight="1">
      <c r="A224" s="99"/>
      <c r="B224" s="90"/>
      <c r="C224" s="91" t="s">
        <v>1048</v>
      </c>
      <c r="D224" s="92" t="s">
        <v>1050</v>
      </c>
      <c r="E224" s="90"/>
      <c r="F224" s="90"/>
      <c r="G224" s="90"/>
      <c r="H224" s="100"/>
    </row>
    <row r="225" spans="1:8" ht="20.25" customHeight="1">
      <c r="A225" s="101" t="s">
        <v>1207</v>
      </c>
      <c r="B225" s="93" t="s">
        <v>1170</v>
      </c>
      <c r="C225" s="94">
        <v>135.44999999999999</v>
      </c>
      <c r="D225" s="95">
        <v>135.44999999999999</v>
      </c>
      <c r="E225" s="90"/>
      <c r="F225" s="90"/>
      <c r="G225" s="90"/>
      <c r="H225" s="100"/>
    </row>
    <row r="226" spans="1:8" ht="15" customHeight="1">
      <c r="A226" s="102"/>
      <c r="B226" s="96"/>
      <c r="C226" s="97"/>
      <c r="D226" s="98">
        <v>135.44999999999999</v>
      </c>
      <c r="E226" s="90"/>
      <c r="F226" s="90"/>
      <c r="G226" s="90"/>
      <c r="H226" s="100"/>
    </row>
    <row r="227" spans="1:8" ht="21.95" customHeight="1">
      <c r="A227" s="140" t="s">
        <v>1208</v>
      </c>
      <c r="B227" s="141"/>
      <c r="C227" s="141"/>
      <c r="D227" s="141"/>
      <c r="E227" s="141"/>
      <c r="F227" s="141"/>
      <c r="G227" s="141"/>
      <c r="H227" s="142"/>
    </row>
    <row r="228" spans="1:8" ht="15" customHeight="1">
      <c r="A228" s="99"/>
      <c r="B228" s="90"/>
      <c r="C228" s="91" t="s">
        <v>1209</v>
      </c>
      <c r="D228" s="92" t="s">
        <v>1050</v>
      </c>
      <c r="E228" s="90"/>
      <c r="F228" s="90"/>
      <c r="G228" s="90"/>
      <c r="H228" s="100"/>
    </row>
    <row r="229" spans="1:8" ht="12.95" customHeight="1">
      <c r="A229" s="101" t="s">
        <v>1210</v>
      </c>
      <c r="B229" s="93" t="s">
        <v>1211</v>
      </c>
      <c r="C229" s="94">
        <v>37</v>
      </c>
      <c r="D229" s="95">
        <v>37</v>
      </c>
      <c r="E229" s="90"/>
      <c r="F229" s="90"/>
      <c r="G229" s="90"/>
      <c r="H229" s="100"/>
    </row>
    <row r="230" spans="1:8" ht="12.95" customHeight="1">
      <c r="A230" s="101" t="s">
        <v>1212</v>
      </c>
      <c r="B230" s="93" t="s">
        <v>1211</v>
      </c>
      <c r="C230" s="94">
        <v>22</v>
      </c>
      <c r="D230" s="95">
        <v>22</v>
      </c>
      <c r="E230" s="90"/>
      <c r="F230" s="90"/>
      <c r="G230" s="90"/>
      <c r="H230" s="100"/>
    </row>
    <row r="231" spans="1:8" ht="15" customHeight="1">
      <c r="A231" s="102"/>
      <c r="B231" s="96"/>
      <c r="C231" s="97"/>
      <c r="D231" s="98">
        <v>59</v>
      </c>
      <c r="E231" s="90"/>
      <c r="F231" s="90"/>
      <c r="G231" s="90"/>
      <c r="H231" s="100"/>
    </row>
    <row r="232" spans="1:8" ht="21.95" customHeight="1">
      <c r="A232" s="140" t="s">
        <v>1213</v>
      </c>
      <c r="B232" s="141"/>
      <c r="C232" s="141"/>
      <c r="D232" s="141"/>
      <c r="E232" s="141"/>
      <c r="F232" s="141"/>
      <c r="G232" s="141"/>
      <c r="H232" s="142"/>
    </row>
    <row r="233" spans="1:8" ht="15" customHeight="1">
      <c r="A233" s="99"/>
      <c r="B233" s="90"/>
      <c r="C233" s="91" t="s">
        <v>1209</v>
      </c>
      <c r="D233" s="92" t="s">
        <v>1050</v>
      </c>
      <c r="E233" s="90"/>
      <c r="F233" s="90"/>
      <c r="G233" s="90"/>
      <c r="H233" s="100"/>
    </row>
    <row r="234" spans="1:8" ht="12.95" customHeight="1">
      <c r="A234" s="101" t="s">
        <v>1214</v>
      </c>
      <c r="B234" s="93" t="s">
        <v>1211</v>
      </c>
      <c r="C234" s="94">
        <v>62.4</v>
      </c>
      <c r="D234" s="95">
        <v>62.4</v>
      </c>
      <c r="E234" s="90"/>
      <c r="F234" s="90"/>
      <c r="G234" s="90"/>
      <c r="H234" s="100"/>
    </row>
    <row r="235" spans="1:8" ht="15" customHeight="1">
      <c r="A235" s="102"/>
      <c r="B235" s="96"/>
      <c r="C235" s="97"/>
      <c r="D235" s="98">
        <v>62.4</v>
      </c>
      <c r="E235" s="90"/>
      <c r="F235" s="90"/>
      <c r="G235" s="90"/>
      <c r="H235" s="100"/>
    </row>
    <row r="236" spans="1:8" ht="21.95" customHeight="1">
      <c r="A236" s="140" t="s">
        <v>1215</v>
      </c>
      <c r="B236" s="141"/>
      <c r="C236" s="141"/>
      <c r="D236" s="141"/>
      <c r="E236" s="141"/>
      <c r="F236" s="141"/>
      <c r="G236" s="141"/>
      <c r="H236" s="142"/>
    </row>
    <row r="237" spans="1:8" ht="15" customHeight="1">
      <c r="A237" s="99"/>
      <c r="B237" s="90"/>
      <c r="C237" s="91" t="s">
        <v>1048</v>
      </c>
      <c r="D237" s="92" t="s">
        <v>1050</v>
      </c>
      <c r="E237" s="90"/>
      <c r="F237" s="90"/>
      <c r="G237" s="90"/>
      <c r="H237" s="100"/>
    </row>
    <row r="238" spans="1:8" ht="12.95" customHeight="1">
      <c r="A238" s="101" t="s">
        <v>1169</v>
      </c>
      <c r="B238" s="93" t="s">
        <v>1170</v>
      </c>
      <c r="C238" s="94">
        <v>1.6</v>
      </c>
      <c r="D238" s="95">
        <v>1.6</v>
      </c>
      <c r="E238" s="90"/>
      <c r="F238" s="90"/>
      <c r="G238" s="90"/>
      <c r="H238" s="100"/>
    </row>
    <row r="239" spans="1:8" ht="12.95" customHeight="1">
      <c r="A239" s="101" t="s">
        <v>1216</v>
      </c>
      <c r="B239" s="93" t="s">
        <v>1170</v>
      </c>
      <c r="C239" s="94">
        <v>0.3</v>
      </c>
      <c r="D239" s="95">
        <v>0.3</v>
      </c>
      <c r="E239" s="90"/>
      <c r="F239" s="90"/>
      <c r="G239" s="90"/>
      <c r="H239" s="100"/>
    </row>
    <row r="240" spans="1:8" ht="12.95" customHeight="1">
      <c r="A240" s="101" t="s">
        <v>1217</v>
      </c>
      <c r="B240" s="93" t="s">
        <v>1170</v>
      </c>
      <c r="C240" s="94">
        <v>0.3</v>
      </c>
      <c r="D240" s="95">
        <v>0.3</v>
      </c>
      <c r="E240" s="90"/>
      <c r="F240" s="90"/>
      <c r="G240" s="90"/>
      <c r="H240" s="100"/>
    </row>
    <row r="241" spans="1:8" ht="12.95" customHeight="1">
      <c r="A241" s="101" t="s">
        <v>1174</v>
      </c>
      <c r="B241" s="93" t="s">
        <v>1170</v>
      </c>
      <c r="C241" s="94">
        <v>0.3</v>
      </c>
      <c r="D241" s="95">
        <v>0.3</v>
      </c>
      <c r="E241" s="90"/>
      <c r="F241" s="90"/>
      <c r="G241" s="90"/>
      <c r="H241" s="100"/>
    </row>
    <row r="242" spans="1:8" ht="12.95" customHeight="1">
      <c r="A242" s="101" t="s">
        <v>1175</v>
      </c>
      <c r="B242" s="93" t="s">
        <v>1170</v>
      </c>
      <c r="C242" s="94">
        <v>0.3</v>
      </c>
      <c r="D242" s="95">
        <v>0.3</v>
      </c>
      <c r="E242" s="90"/>
      <c r="F242" s="90"/>
      <c r="G242" s="90"/>
      <c r="H242" s="100"/>
    </row>
    <row r="243" spans="1:8" ht="12.95" customHeight="1">
      <c r="A243" s="101" t="s">
        <v>1177</v>
      </c>
      <c r="B243" s="93" t="s">
        <v>1170</v>
      </c>
      <c r="C243" s="94">
        <v>0.35</v>
      </c>
      <c r="D243" s="95">
        <v>0.35</v>
      </c>
      <c r="E243" s="90"/>
      <c r="F243" s="90"/>
      <c r="G243" s="90"/>
      <c r="H243" s="100"/>
    </row>
    <row r="244" spans="1:8" ht="12.95" customHeight="1">
      <c r="A244" s="101" t="s">
        <v>1218</v>
      </c>
      <c r="B244" s="93" t="s">
        <v>1170</v>
      </c>
      <c r="C244" s="94">
        <v>0.45</v>
      </c>
      <c r="D244" s="95">
        <v>0.45</v>
      </c>
      <c r="E244" s="90"/>
      <c r="F244" s="90"/>
      <c r="G244" s="90"/>
      <c r="H244" s="100"/>
    </row>
    <row r="245" spans="1:8" ht="12.95" customHeight="1">
      <c r="A245" s="101" t="s">
        <v>1178</v>
      </c>
      <c r="B245" s="93" t="s">
        <v>1170</v>
      </c>
      <c r="C245" s="94">
        <v>1.35</v>
      </c>
      <c r="D245" s="95">
        <v>1.35</v>
      </c>
      <c r="E245" s="90"/>
      <c r="F245" s="90"/>
      <c r="G245" s="90"/>
      <c r="H245" s="100"/>
    </row>
    <row r="246" spans="1:8" ht="12.95" customHeight="1">
      <c r="A246" s="101" t="s">
        <v>1219</v>
      </c>
      <c r="B246" s="93" t="s">
        <v>1170</v>
      </c>
      <c r="C246" s="94">
        <v>0.35</v>
      </c>
      <c r="D246" s="95">
        <v>0.35</v>
      </c>
      <c r="E246" s="90"/>
      <c r="F246" s="90"/>
      <c r="G246" s="90"/>
      <c r="H246" s="100"/>
    </row>
    <row r="247" spans="1:8" ht="12.95" customHeight="1">
      <c r="A247" s="101" t="s">
        <v>1181</v>
      </c>
      <c r="B247" s="93" t="s">
        <v>1170</v>
      </c>
      <c r="C247" s="94">
        <v>1.35</v>
      </c>
      <c r="D247" s="95">
        <v>1.35</v>
      </c>
      <c r="E247" s="90"/>
      <c r="F247" s="90"/>
      <c r="G247" s="90"/>
      <c r="H247" s="100"/>
    </row>
    <row r="248" spans="1:8" ht="12.95" customHeight="1">
      <c r="A248" s="101" t="s">
        <v>1220</v>
      </c>
      <c r="B248" s="93" t="s">
        <v>1170</v>
      </c>
      <c r="C248" s="94">
        <v>1.35</v>
      </c>
      <c r="D248" s="95">
        <v>1.35</v>
      </c>
      <c r="E248" s="90"/>
      <c r="F248" s="90"/>
      <c r="G248" s="90"/>
      <c r="H248" s="100"/>
    </row>
    <row r="249" spans="1:8" ht="15" customHeight="1">
      <c r="A249" s="102"/>
      <c r="B249" s="96"/>
      <c r="C249" s="97"/>
      <c r="D249" s="98">
        <v>8</v>
      </c>
      <c r="E249" s="90"/>
      <c r="F249" s="90"/>
      <c r="G249" s="90"/>
      <c r="H249" s="100"/>
    </row>
    <row r="250" spans="1:8">
      <c r="A250" s="103"/>
      <c r="B250" s="104"/>
      <c r="C250" s="104"/>
      <c r="D250" s="104"/>
      <c r="E250" s="104"/>
      <c r="F250" s="104"/>
      <c r="G250" s="104"/>
      <c r="H250" s="105"/>
    </row>
  </sheetData>
  <mergeCells count="44">
    <mergeCell ref="A22:H22"/>
    <mergeCell ref="A4:H4"/>
    <mergeCell ref="A5:H5"/>
    <mergeCell ref="A9:H9"/>
    <mergeCell ref="A14:H14"/>
    <mergeCell ref="A18:H18"/>
    <mergeCell ref="A89:H89"/>
    <mergeCell ref="A27:H27"/>
    <mergeCell ref="A32:H32"/>
    <mergeCell ref="A36:H36"/>
    <mergeCell ref="A40:H40"/>
    <mergeCell ref="A44:H44"/>
    <mergeCell ref="A49:H49"/>
    <mergeCell ref="A53:H53"/>
    <mergeCell ref="A60:H60"/>
    <mergeCell ref="A68:H68"/>
    <mergeCell ref="A77:H77"/>
    <mergeCell ref="A81:H81"/>
    <mergeCell ref="A135:H135"/>
    <mergeCell ref="A139:H139"/>
    <mergeCell ref="A143:H143"/>
    <mergeCell ref="A151:H151"/>
    <mergeCell ref="A93:H93"/>
    <mergeCell ref="A99:H99"/>
    <mergeCell ref="A103:H103"/>
    <mergeCell ref="A107:H107"/>
    <mergeCell ref="A112:H112"/>
    <mergeCell ref="A117:H117"/>
    <mergeCell ref="A236:H236"/>
    <mergeCell ref="A2:C2"/>
    <mergeCell ref="A204:H204"/>
    <mergeCell ref="A213:H213"/>
    <mergeCell ref="A218:H218"/>
    <mergeCell ref="A223:H223"/>
    <mergeCell ref="A227:H227"/>
    <mergeCell ref="A232:H232"/>
    <mergeCell ref="A170:H170"/>
    <mergeCell ref="A174:H174"/>
    <mergeCell ref="A178:H178"/>
    <mergeCell ref="A182:H182"/>
    <mergeCell ref="A186:H186"/>
    <mergeCell ref="A194:H194"/>
    <mergeCell ref="A123:H123"/>
    <mergeCell ref="A131:H131"/>
  </mergeCells>
  <pageMargins left="0.27777777777777779" right="0.27777777777777779" top="0.27777777777777779" bottom="0.27777777777777779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597"/>
  <sheetViews>
    <sheetView view="pageBreakPreview" topLeftCell="A768" zoomScaleNormal="100" zoomScaleSheetLayoutView="100" workbookViewId="0">
      <selection activeCell="A771" sqref="A771:XFD786"/>
    </sheetView>
  </sheetViews>
  <sheetFormatPr defaultRowHeight="15"/>
  <cols>
    <col min="1" max="1" width="8.28515625" style="10" customWidth="1"/>
    <col min="2" max="2" width="39.140625" style="10" customWidth="1"/>
    <col min="3" max="3" width="10" style="10" customWidth="1"/>
    <col min="4" max="4" width="5" style="10" customWidth="1"/>
    <col min="5" max="7" width="10" style="10" customWidth="1"/>
    <col min="8" max="16384" width="9.140625" style="10"/>
  </cols>
  <sheetData>
    <row r="1" spans="1:13">
      <c r="A1" s="51" t="s">
        <v>968</v>
      </c>
      <c r="B1" s="52"/>
      <c r="C1" s="52"/>
      <c r="D1" s="53"/>
      <c r="E1" s="53"/>
      <c r="F1" s="53"/>
      <c r="G1" s="54"/>
      <c r="H1" s="22"/>
    </row>
    <row r="2" spans="1:13">
      <c r="A2" s="133" t="s">
        <v>1039</v>
      </c>
      <c r="B2" s="134"/>
      <c r="C2" s="134"/>
      <c r="D2" s="48"/>
      <c r="E2" s="48"/>
      <c r="F2" s="48"/>
      <c r="G2" s="55"/>
      <c r="H2" s="22"/>
    </row>
    <row r="3" spans="1:13">
      <c r="A3" s="56" t="s">
        <v>969</v>
      </c>
      <c r="B3" s="24"/>
      <c r="C3" s="25"/>
      <c r="D3" s="48"/>
      <c r="E3" s="48"/>
      <c r="F3" s="48"/>
      <c r="G3" s="55"/>
      <c r="H3" s="22"/>
    </row>
    <row r="4" spans="1:13" ht="21" customHeight="1">
      <c r="A4" s="135" t="s">
        <v>1013</v>
      </c>
      <c r="B4" s="136"/>
      <c r="C4" s="136"/>
      <c r="D4" s="136"/>
      <c r="E4" s="136"/>
      <c r="F4" s="136"/>
      <c r="G4" s="137"/>
      <c r="H4" s="49"/>
      <c r="I4" s="49"/>
      <c r="J4" s="49"/>
      <c r="K4" s="49"/>
      <c r="L4" s="50"/>
      <c r="M4" s="50"/>
    </row>
    <row r="5" spans="1:13" ht="20.100000000000001" customHeight="1">
      <c r="A5" s="167" t="s">
        <v>371</v>
      </c>
      <c r="B5" s="168"/>
      <c r="C5" s="168"/>
      <c r="D5" s="168"/>
      <c r="E5" s="168"/>
      <c r="F5" s="168"/>
      <c r="G5" s="169"/>
      <c r="H5" s="50"/>
      <c r="I5" s="50"/>
      <c r="J5" s="50"/>
      <c r="K5" s="50"/>
      <c r="L5" s="50"/>
      <c r="M5" s="50"/>
    </row>
    <row r="6" spans="1:13" ht="15" customHeight="1">
      <c r="A6" s="151" t="s">
        <v>372</v>
      </c>
      <c r="B6" s="152"/>
      <c r="C6" s="12" t="s">
        <v>373</v>
      </c>
      <c r="D6" s="12" t="s">
        <v>374</v>
      </c>
      <c r="E6" s="12" t="s">
        <v>375</v>
      </c>
      <c r="F6" s="12" t="s">
        <v>376</v>
      </c>
      <c r="G6" s="43" t="s">
        <v>377</v>
      </c>
      <c r="H6" s="50"/>
      <c r="I6" s="50"/>
      <c r="J6" s="50"/>
      <c r="K6" s="50"/>
      <c r="L6" s="50"/>
      <c r="M6" s="50"/>
    </row>
    <row r="7" spans="1:13" ht="15" customHeight="1">
      <c r="A7" s="13" t="s">
        <v>378</v>
      </c>
      <c r="B7" s="14" t="s">
        <v>379</v>
      </c>
      <c r="C7" s="13" t="s">
        <v>380</v>
      </c>
      <c r="D7" s="13" t="s">
        <v>381</v>
      </c>
      <c r="E7" s="15">
        <v>2</v>
      </c>
      <c r="F7" s="16">
        <v>7.1327999999999996</v>
      </c>
      <c r="G7" s="44">
        <v>14.27</v>
      </c>
      <c r="H7" s="50"/>
      <c r="I7" s="50"/>
      <c r="J7" s="50"/>
      <c r="K7" s="50"/>
      <c r="L7" s="50"/>
      <c r="M7" s="50"/>
    </row>
    <row r="8" spans="1:13" ht="15" customHeight="1">
      <c r="A8" s="11"/>
      <c r="B8" s="11"/>
      <c r="C8" s="11"/>
      <c r="D8" s="11"/>
      <c r="E8" s="153" t="s">
        <v>382</v>
      </c>
      <c r="F8" s="154"/>
      <c r="G8" s="45">
        <v>14.27</v>
      </c>
      <c r="H8" s="50"/>
      <c r="I8" s="50"/>
      <c r="J8" s="50"/>
      <c r="K8" s="50"/>
      <c r="L8" s="50"/>
      <c r="M8" s="50"/>
    </row>
    <row r="9" spans="1:13" ht="15" customHeight="1">
      <c r="A9" s="151" t="s">
        <v>383</v>
      </c>
      <c r="B9" s="152"/>
      <c r="C9" s="12" t="s">
        <v>373</v>
      </c>
      <c r="D9" s="12" t="s">
        <v>374</v>
      </c>
      <c r="E9" s="12" t="s">
        <v>375</v>
      </c>
      <c r="F9" s="12" t="s">
        <v>376</v>
      </c>
      <c r="G9" s="43" t="s">
        <v>377</v>
      </c>
      <c r="H9" s="50"/>
      <c r="I9" s="50"/>
      <c r="J9" s="50"/>
      <c r="K9" s="50"/>
      <c r="L9" s="50"/>
      <c r="M9" s="50"/>
    </row>
    <row r="10" spans="1:13" ht="15" customHeight="1">
      <c r="A10" s="13" t="s">
        <v>384</v>
      </c>
      <c r="B10" s="14" t="s">
        <v>385</v>
      </c>
      <c r="C10" s="13" t="s">
        <v>380</v>
      </c>
      <c r="D10" s="13" t="s">
        <v>386</v>
      </c>
      <c r="E10" s="15">
        <v>1.02</v>
      </c>
      <c r="F10" s="16">
        <v>33.159999999999997</v>
      </c>
      <c r="G10" s="16">
        <v>33.82</v>
      </c>
    </row>
    <row r="11" spans="1:13" ht="15" customHeight="1">
      <c r="A11" s="13" t="s">
        <v>387</v>
      </c>
      <c r="B11" s="14" t="s">
        <v>388</v>
      </c>
      <c r="C11" s="13" t="s">
        <v>380</v>
      </c>
      <c r="D11" s="13" t="s">
        <v>389</v>
      </c>
      <c r="E11" s="15">
        <v>1</v>
      </c>
      <c r="F11" s="16">
        <v>21.46</v>
      </c>
      <c r="G11" s="16">
        <v>21.46</v>
      </c>
    </row>
    <row r="12" spans="1:13" ht="15" customHeight="1">
      <c r="A12" s="13" t="s">
        <v>390</v>
      </c>
      <c r="B12" s="14" t="s">
        <v>391</v>
      </c>
      <c r="C12" s="13" t="s">
        <v>380</v>
      </c>
      <c r="D12" s="13" t="s">
        <v>392</v>
      </c>
      <c r="E12" s="15">
        <v>4.5</v>
      </c>
      <c r="F12" s="16">
        <v>16.440000000000001</v>
      </c>
      <c r="G12" s="16">
        <v>73.98</v>
      </c>
    </row>
    <row r="13" spans="1:13" ht="15" customHeight="1">
      <c r="A13" s="13" t="s">
        <v>393</v>
      </c>
      <c r="B13" s="14" t="s">
        <v>394</v>
      </c>
      <c r="C13" s="13" t="s">
        <v>380</v>
      </c>
      <c r="D13" s="13" t="s">
        <v>395</v>
      </c>
      <c r="E13" s="15">
        <v>0.15</v>
      </c>
      <c r="F13" s="16">
        <v>11.26</v>
      </c>
      <c r="G13" s="16">
        <v>1.69</v>
      </c>
    </row>
    <row r="14" spans="1:13" ht="15" customHeight="1">
      <c r="A14" s="11"/>
      <c r="B14" s="11"/>
      <c r="C14" s="11"/>
      <c r="D14" s="11"/>
      <c r="E14" s="153" t="s">
        <v>396</v>
      </c>
      <c r="F14" s="154"/>
      <c r="G14" s="17">
        <v>130.94999999999999</v>
      </c>
    </row>
    <row r="15" spans="1:13" ht="15" customHeight="1">
      <c r="A15" s="11"/>
      <c r="B15" s="11"/>
      <c r="C15" s="11"/>
      <c r="D15" s="11"/>
      <c r="E15" s="147" t="s">
        <v>397</v>
      </c>
      <c r="F15" s="148"/>
      <c r="G15" s="18">
        <v>145.22</v>
      </c>
    </row>
    <row r="16" spans="1:13" ht="15" customHeight="1">
      <c r="A16" s="11"/>
      <c r="B16" s="11"/>
      <c r="C16" s="11"/>
      <c r="D16" s="11"/>
      <c r="E16" s="147" t="s">
        <v>398</v>
      </c>
      <c r="F16" s="148"/>
      <c r="G16" s="18">
        <v>12.15</v>
      </c>
    </row>
    <row r="17" spans="1:7" ht="15" customHeight="1">
      <c r="A17" s="11"/>
      <c r="B17" s="11"/>
      <c r="C17" s="11"/>
      <c r="D17" s="11"/>
      <c r="E17" s="147" t="s">
        <v>399</v>
      </c>
      <c r="F17" s="148"/>
      <c r="G17" s="18">
        <v>157.37</v>
      </c>
    </row>
    <row r="18" spans="1:7" ht="15" customHeight="1">
      <c r="A18" s="11"/>
      <c r="B18" s="11"/>
      <c r="C18" s="11"/>
      <c r="D18" s="11"/>
      <c r="E18" s="147" t="s">
        <v>400</v>
      </c>
      <c r="F18" s="148"/>
      <c r="G18" s="18">
        <v>38.209400000000002</v>
      </c>
    </row>
    <row r="19" spans="1:7" ht="15" customHeight="1">
      <c r="A19" s="11"/>
      <c r="B19" s="11"/>
      <c r="C19" s="11"/>
      <c r="D19" s="11"/>
      <c r="E19" s="147" t="s">
        <v>401</v>
      </c>
      <c r="F19" s="148"/>
      <c r="G19" s="18">
        <v>195.58</v>
      </c>
    </row>
    <row r="20" spans="1:7" ht="9.9499999999999993" customHeight="1">
      <c r="A20" s="11"/>
      <c r="B20" s="11"/>
      <c r="C20" s="155" t="s">
        <v>370</v>
      </c>
      <c r="D20" s="156"/>
      <c r="E20" s="11"/>
      <c r="F20" s="11"/>
      <c r="G20" s="11"/>
    </row>
    <row r="21" spans="1:7" ht="20.100000000000001" customHeight="1">
      <c r="A21" s="149" t="s">
        <v>402</v>
      </c>
      <c r="B21" s="150"/>
      <c r="C21" s="150"/>
      <c r="D21" s="150"/>
      <c r="E21" s="150"/>
      <c r="F21" s="150"/>
      <c r="G21" s="150"/>
    </row>
    <row r="22" spans="1:7" ht="15" customHeight="1">
      <c r="A22" s="151" t="s">
        <v>383</v>
      </c>
      <c r="B22" s="152"/>
      <c r="C22" s="12" t="s">
        <v>373</v>
      </c>
      <c r="D22" s="12" t="s">
        <v>374</v>
      </c>
      <c r="E22" s="12" t="s">
        <v>375</v>
      </c>
      <c r="F22" s="12" t="s">
        <v>376</v>
      </c>
      <c r="G22" s="12" t="s">
        <v>377</v>
      </c>
    </row>
    <row r="23" spans="1:7" ht="20.100000000000001" customHeight="1">
      <c r="A23" s="13" t="s">
        <v>403</v>
      </c>
      <c r="B23" s="14" t="s">
        <v>404</v>
      </c>
      <c r="C23" s="13" t="s">
        <v>405</v>
      </c>
      <c r="D23" s="13" t="s">
        <v>392</v>
      </c>
      <c r="E23" s="15">
        <v>0.74450000000000005</v>
      </c>
      <c r="F23" s="16">
        <v>4.68</v>
      </c>
      <c r="G23" s="16">
        <v>3.48</v>
      </c>
    </row>
    <row r="24" spans="1:7" ht="20.100000000000001" customHeight="1">
      <c r="A24" s="13" t="s">
        <v>406</v>
      </c>
      <c r="B24" s="14" t="s">
        <v>407</v>
      </c>
      <c r="C24" s="13" t="s">
        <v>405</v>
      </c>
      <c r="D24" s="13" t="s">
        <v>392</v>
      </c>
      <c r="E24" s="15">
        <v>0.41249999999999998</v>
      </c>
      <c r="F24" s="16">
        <v>10.78</v>
      </c>
      <c r="G24" s="16">
        <v>4.45</v>
      </c>
    </row>
    <row r="25" spans="1:7" ht="15" customHeight="1">
      <c r="A25" s="13" t="s">
        <v>408</v>
      </c>
      <c r="B25" s="14" t="s">
        <v>409</v>
      </c>
      <c r="C25" s="13" t="s">
        <v>405</v>
      </c>
      <c r="D25" s="13" t="s">
        <v>395</v>
      </c>
      <c r="E25" s="15">
        <v>0.111</v>
      </c>
      <c r="F25" s="16">
        <v>13.73</v>
      </c>
      <c r="G25" s="16">
        <v>1.52</v>
      </c>
    </row>
    <row r="26" spans="1:7" ht="15" customHeight="1">
      <c r="A26" s="13" t="s">
        <v>410</v>
      </c>
      <c r="B26" s="14" t="s">
        <v>411</v>
      </c>
      <c r="C26" s="13" t="s">
        <v>405</v>
      </c>
      <c r="D26" s="13" t="s">
        <v>389</v>
      </c>
      <c r="E26" s="15">
        <v>2.5600000000000001E-2</v>
      </c>
      <c r="F26" s="16">
        <v>17.93</v>
      </c>
      <c r="G26" s="16">
        <v>0.46</v>
      </c>
    </row>
    <row r="27" spans="1:7" ht="20.100000000000001" customHeight="1">
      <c r="A27" s="13" t="s">
        <v>412</v>
      </c>
      <c r="B27" s="14" t="s">
        <v>413</v>
      </c>
      <c r="C27" s="13" t="s">
        <v>405</v>
      </c>
      <c r="D27" s="13" t="s">
        <v>392</v>
      </c>
      <c r="E27" s="15">
        <v>0.55000000000000004</v>
      </c>
      <c r="F27" s="16">
        <v>5.85</v>
      </c>
      <c r="G27" s="16">
        <v>3.22</v>
      </c>
    </row>
    <row r="28" spans="1:7" ht="15" customHeight="1">
      <c r="A28" s="11"/>
      <c r="B28" s="11"/>
      <c r="C28" s="11"/>
      <c r="D28" s="11"/>
      <c r="E28" s="153" t="s">
        <v>396</v>
      </c>
      <c r="F28" s="154"/>
      <c r="G28" s="17">
        <v>13.13</v>
      </c>
    </row>
    <row r="29" spans="1:7" ht="15" customHeight="1">
      <c r="A29" s="151" t="s">
        <v>414</v>
      </c>
      <c r="B29" s="152"/>
      <c r="C29" s="12" t="s">
        <v>373</v>
      </c>
      <c r="D29" s="12" t="s">
        <v>374</v>
      </c>
      <c r="E29" s="12" t="s">
        <v>375</v>
      </c>
      <c r="F29" s="12" t="s">
        <v>376</v>
      </c>
      <c r="G29" s="12" t="s">
        <v>377</v>
      </c>
    </row>
    <row r="30" spans="1:7" ht="15" customHeight="1">
      <c r="A30" s="13" t="s">
        <v>415</v>
      </c>
      <c r="B30" s="14" t="s">
        <v>416</v>
      </c>
      <c r="C30" s="13" t="s">
        <v>405</v>
      </c>
      <c r="D30" s="13" t="s">
        <v>381</v>
      </c>
      <c r="E30" s="15">
        <v>0.35630000000000001</v>
      </c>
      <c r="F30" s="16">
        <v>10.27</v>
      </c>
      <c r="G30" s="16">
        <v>3.66</v>
      </c>
    </row>
    <row r="31" spans="1:7" ht="15" customHeight="1">
      <c r="A31" s="13" t="s">
        <v>417</v>
      </c>
      <c r="B31" s="14" t="s">
        <v>418</v>
      </c>
      <c r="C31" s="13" t="s">
        <v>405</v>
      </c>
      <c r="D31" s="13" t="s">
        <v>381</v>
      </c>
      <c r="E31" s="15">
        <v>0.71250000000000002</v>
      </c>
      <c r="F31" s="16">
        <v>11.68</v>
      </c>
      <c r="G31" s="16">
        <v>8.32</v>
      </c>
    </row>
    <row r="32" spans="1:7" ht="27.95" customHeight="1">
      <c r="A32" s="13" t="s">
        <v>419</v>
      </c>
      <c r="B32" s="14" t="s">
        <v>420</v>
      </c>
      <c r="C32" s="13" t="s">
        <v>405</v>
      </c>
      <c r="D32" s="13" t="s">
        <v>421</v>
      </c>
      <c r="E32" s="15">
        <v>3.8999999999999998E-3</v>
      </c>
      <c r="F32" s="16">
        <v>14.92</v>
      </c>
      <c r="G32" s="16">
        <v>0.06</v>
      </c>
    </row>
    <row r="33" spans="1:7" ht="27.95" customHeight="1">
      <c r="A33" s="13" t="s">
        <v>422</v>
      </c>
      <c r="B33" s="14" t="s">
        <v>423</v>
      </c>
      <c r="C33" s="13" t="s">
        <v>405</v>
      </c>
      <c r="D33" s="13" t="s">
        <v>424</v>
      </c>
      <c r="E33" s="15">
        <v>1.6799999999999999E-2</v>
      </c>
      <c r="F33" s="16">
        <v>12.64</v>
      </c>
      <c r="G33" s="16">
        <v>0.21</v>
      </c>
    </row>
    <row r="34" spans="1:7" ht="20.100000000000001" customHeight="1">
      <c r="A34" s="13" t="s">
        <v>425</v>
      </c>
      <c r="B34" s="14" t="s">
        <v>426</v>
      </c>
      <c r="C34" s="13" t="s">
        <v>405</v>
      </c>
      <c r="D34" s="13" t="s">
        <v>427</v>
      </c>
      <c r="E34" s="15">
        <v>4.5999999999999999E-3</v>
      </c>
      <c r="F34" s="16">
        <v>283.07</v>
      </c>
      <c r="G34" s="16">
        <v>1.3</v>
      </c>
    </row>
    <row r="35" spans="1:7" ht="20.100000000000001" customHeight="1">
      <c r="A35" s="13" t="s">
        <v>428</v>
      </c>
      <c r="B35" s="14" t="s">
        <v>429</v>
      </c>
      <c r="C35" s="13" t="s">
        <v>405</v>
      </c>
      <c r="D35" s="13" t="s">
        <v>430</v>
      </c>
      <c r="E35" s="15">
        <v>1.5</v>
      </c>
      <c r="F35" s="16">
        <v>1.1299999999999999</v>
      </c>
      <c r="G35" s="16">
        <v>1.7</v>
      </c>
    </row>
    <row r="36" spans="1:7" ht="15" customHeight="1">
      <c r="A36" s="11"/>
      <c r="B36" s="11"/>
      <c r="C36" s="11"/>
      <c r="D36" s="11"/>
      <c r="E36" s="153" t="s">
        <v>431</v>
      </c>
      <c r="F36" s="154"/>
      <c r="G36" s="17">
        <v>15.25</v>
      </c>
    </row>
    <row r="37" spans="1:7" ht="15" customHeight="1">
      <c r="A37" s="11"/>
      <c r="B37" s="11"/>
      <c r="C37" s="11"/>
      <c r="D37" s="11"/>
      <c r="E37" s="147" t="s">
        <v>397</v>
      </c>
      <c r="F37" s="148"/>
      <c r="G37" s="18">
        <v>28.38</v>
      </c>
    </row>
    <row r="38" spans="1:7" ht="15" customHeight="1">
      <c r="A38" s="11"/>
      <c r="B38" s="11"/>
      <c r="C38" s="11"/>
      <c r="D38" s="11"/>
      <c r="E38" s="147" t="s">
        <v>398</v>
      </c>
      <c r="F38" s="148"/>
      <c r="G38" s="18">
        <v>6.55</v>
      </c>
    </row>
    <row r="39" spans="1:7" ht="15" customHeight="1">
      <c r="A39" s="11"/>
      <c r="B39" s="11"/>
      <c r="C39" s="11"/>
      <c r="D39" s="11"/>
      <c r="E39" s="147" t="s">
        <v>399</v>
      </c>
      <c r="F39" s="148"/>
      <c r="G39" s="18">
        <v>34.93</v>
      </c>
    </row>
    <row r="40" spans="1:7" ht="15" customHeight="1">
      <c r="A40" s="11"/>
      <c r="B40" s="11"/>
      <c r="C40" s="11"/>
      <c r="D40" s="11"/>
      <c r="E40" s="147" t="s">
        <v>400</v>
      </c>
      <c r="F40" s="148"/>
      <c r="G40" s="18">
        <v>8.4809999999999999</v>
      </c>
    </row>
    <row r="41" spans="1:7" ht="15" customHeight="1">
      <c r="A41" s="11"/>
      <c r="B41" s="11"/>
      <c r="C41" s="11"/>
      <c r="D41" s="11"/>
      <c r="E41" s="147" t="s">
        <v>401</v>
      </c>
      <c r="F41" s="148"/>
      <c r="G41" s="18">
        <v>43.41</v>
      </c>
    </row>
    <row r="42" spans="1:7" ht="9.9499999999999993" customHeight="1">
      <c r="A42" s="11"/>
      <c r="B42" s="11"/>
      <c r="C42" s="155" t="s">
        <v>370</v>
      </c>
      <c r="D42" s="156"/>
      <c r="E42" s="11"/>
      <c r="F42" s="11"/>
      <c r="G42" s="11"/>
    </row>
    <row r="43" spans="1:7" ht="20.100000000000001" customHeight="1">
      <c r="A43" s="149" t="s">
        <v>432</v>
      </c>
      <c r="B43" s="150"/>
      <c r="C43" s="150"/>
      <c r="D43" s="150"/>
      <c r="E43" s="150"/>
      <c r="F43" s="150"/>
      <c r="G43" s="150"/>
    </row>
    <row r="44" spans="1:7" ht="15" customHeight="1">
      <c r="A44" s="151" t="s">
        <v>414</v>
      </c>
      <c r="B44" s="152"/>
      <c r="C44" s="12" t="s">
        <v>373</v>
      </c>
      <c r="D44" s="12" t="s">
        <v>374</v>
      </c>
      <c r="E44" s="12" t="s">
        <v>375</v>
      </c>
      <c r="F44" s="12" t="s">
        <v>376</v>
      </c>
      <c r="G44" s="12" t="s">
        <v>377</v>
      </c>
    </row>
    <row r="45" spans="1:7" ht="15" customHeight="1">
      <c r="A45" s="13" t="s">
        <v>433</v>
      </c>
      <c r="B45" s="14" t="s">
        <v>434</v>
      </c>
      <c r="C45" s="13" t="s">
        <v>405</v>
      </c>
      <c r="D45" s="13" t="s">
        <v>381</v>
      </c>
      <c r="E45" s="15">
        <v>0.22500000000000001</v>
      </c>
      <c r="F45" s="16">
        <v>11.73</v>
      </c>
      <c r="G45" s="16">
        <v>2.64</v>
      </c>
    </row>
    <row r="46" spans="1:7" ht="15" customHeight="1">
      <c r="A46" s="13" t="s">
        <v>435</v>
      </c>
      <c r="B46" s="14" t="s">
        <v>436</v>
      </c>
      <c r="C46" s="13" t="s">
        <v>405</v>
      </c>
      <c r="D46" s="13" t="s">
        <v>381</v>
      </c>
      <c r="E46" s="15">
        <v>2.3248000000000002</v>
      </c>
      <c r="F46" s="16">
        <v>9.6300000000000008</v>
      </c>
      <c r="G46" s="16">
        <v>22.39</v>
      </c>
    </row>
    <row r="47" spans="1:7" ht="15" customHeight="1">
      <c r="A47" s="11"/>
      <c r="B47" s="11"/>
      <c r="C47" s="11"/>
      <c r="D47" s="11"/>
      <c r="E47" s="153" t="s">
        <v>431</v>
      </c>
      <c r="F47" s="154"/>
      <c r="G47" s="17">
        <v>25.03</v>
      </c>
    </row>
    <row r="48" spans="1:7" ht="15" customHeight="1">
      <c r="A48" s="11"/>
      <c r="B48" s="11"/>
      <c r="C48" s="11"/>
      <c r="D48" s="11"/>
      <c r="E48" s="147" t="s">
        <v>397</v>
      </c>
      <c r="F48" s="148"/>
      <c r="G48" s="18">
        <v>25.03</v>
      </c>
    </row>
    <row r="49" spans="1:7" ht="15" customHeight="1">
      <c r="A49" s="11"/>
      <c r="B49" s="11"/>
      <c r="C49" s="11"/>
      <c r="D49" s="11"/>
      <c r="E49" s="147" t="s">
        <v>398</v>
      </c>
      <c r="F49" s="148"/>
      <c r="G49" s="18">
        <v>10.16</v>
      </c>
    </row>
    <row r="50" spans="1:7" ht="15" customHeight="1">
      <c r="A50" s="11"/>
      <c r="B50" s="11"/>
      <c r="C50" s="11"/>
      <c r="D50" s="11"/>
      <c r="E50" s="147" t="s">
        <v>399</v>
      </c>
      <c r="F50" s="148"/>
      <c r="G50" s="18">
        <v>35.19</v>
      </c>
    </row>
    <row r="51" spans="1:7" ht="15" customHeight="1">
      <c r="A51" s="11"/>
      <c r="B51" s="11"/>
      <c r="C51" s="11"/>
      <c r="D51" s="11"/>
      <c r="E51" s="147" t="s">
        <v>400</v>
      </c>
      <c r="F51" s="148"/>
      <c r="G51" s="18">
        <v>8.5441000000000003</v>
      </c>
    </row>
    <row r="52" spans="1:7" ht="15" customHeight="1">
      <c r="A52" s="11"/>
      <c r="B52" s="11"/>
      <c r="C52" s="11"/>
      <c r="D52" s="11"/>
      <c r="E52" s="147" t="s">
        <v>401</v>
      </c>
      <c r="F52" s="148"/>
      <c r="G52" s="18">
        <v>43.73</v>
      </c>
    </row>
    <row r="53" spans="1:7" ht="9.9499999999999993" customHeight="1">
      <c r="A53" s="11"/>
      <c r="B53" s="11"/>
      <c r="C53" s="155" t="s">
        <v>370</v>
      </c>
      <c r="D53" s="156"/>
      <c r="E53" s="11"/>
      <c r="F53" s="11"/>
      <c r="G53" s="11"/>
    </row>
    <row r="54" spans="1:7" ht="20.100000000000001" customHeight="1">
      <c r="A54" s="149" t="s">
        <v>437</v>
      </c>
      <c r="B54" s="150"/>
      <c r="C54" s="150"/>
      <c r="D54" s="150"/>
      <c r="E54" s="150"/>
      <c r="F54" s="150"/>
      <c r="G54" s="150"/>
    </row>
    <row r="55" spans="1:7" ht="15" customHeight="1">
      <c r="A55" s="151" t="s">
        <v>372</v>
      </c>
      <c r="B55" s="152"/>
      <c r="C55" s="12" t="s">
        <v>373</v>
      </c>
      <c r="D55" s="12" t="s">
        <v>374</v>
      </c>
      <c r="E55" s="12" t="s">
        <v>375</v>
      </c>
      <c r="F55" s="12" t="s">
        <v>376</v>
      </c>
      <c r="G55" s="12" t="s">
        <v>377</v>
      </c>
    </row>
    <row r="56" spans="1:7" ht="15" customHeight="1">
      <c r="A56" s="13" t="s">
        <v>438</v>
      </c>
      <c r="B56" s="14" t="s">
        <v>439</v>
      </c>
      <c r="C56" s="13" t="s">
        <v>380</v>
      </c>
      <c r="D56" s="13" t="s">
        <v>381</v>
      </c>
      <c r="E56" s="15">
        <v>7.0000000000000007E-2</v>
      </c>
      <c r="F56" s="16">
        <v>9.6273999999999997</v>
      </c>
      <c r="G56" s="16">
        <v>0.67</v>
      </c>
    </row>
    <row r="57" spans="1:7" ht="15" customHeight="1">
      <c r="A57" s="13" t="s">
        <v>378</v>
      </c>
      <c r="B57" s="14" t="s">
        <v>379</v>
      </c>
      <c r="C57" s="13" t="s">
        <v>380</v>
      </c>
      <c r="D57" s="13" t="s">
        <v>381</v>
      </c>
      <c r="E57" s="15">
        <v>0.7</v>
      </c>
      <c r="F57" s="16">
        <v>7.1327999999999996</v>
      </c>
      <c r="G57" s="16">
        <v>4.99</v>
      </c>
    </row>
    <row r="58" spans="1:7" ht="15" customHeight="1">
      <c r="A58" s="11"/>
      <c r="B58" s="11"/>
      <c r="C58" s="11"/>
      <c r="D58" s="11"/>
      <c r="E58" s="153" t="s">
        <v>382</v>
      </c>
      <c r="F58" s="154"/>
      <c r="G58" s="17">
        <v>5.66</v>
      </c>
    </row>
    <row r="59" spans="1:7" ht="15" customHeight="1">
      <c r="A59" s="11"/>
      <c r="B59" s="11"/>
      <c r="C59" s="11"/>
      <c r="D59" s="11"/>
      <c r="E59" s="147" t="s">
        <v>397</v>
      </c>
      <c r="F59" s="148"/>
      <c r="G59" s="18">
        <v>5.66</v>
      </c>
    </row>
    <row r="60" spans="1:7" ht="15" customHeight="1">
      <c r="A60" s="11"/>
      <c r="B60" s="11"/>
      <c r="C60" s="11"/>
      <c r="D60" s="11"/>
      <c r="E60" s="147" t="s">
        <v>398</v>
      </c>
      <c r="F60" s="148"/>
      <c r="G60" s="18">
        <v>4.84</v>
      </c>
    </row>
    <row r="61" spans="1:7" ht="15" customHeight="1">
      <c r="A61" s="11"/>
      <c r="B61" s="11"/>
      <c r="C61" s="11"/>
      <c r="D61" s="11"/>
      <c r="E61" s="147" t="s">
        <v>399</v>
      </c>
      <c r="F61" s="148"/>
      <c r="G61" s="18">
        <v>10.5</v>
      </c>
    </row>
    <row r="62" spans="1:7" ht="15" customHeight="1">
      <c r="A62" s="11"/>
      <c r="B62" s="11"/>
      <c r="C62" s="11"/>
      <c r="D62" s="11"/>
      <c r="E62" s="147" t="s">
        <v>400</v>
      </c>
      <c r="F62" s="148"/>
      <c r="G62" s="18">
        <v>2.5493999999999999</v>
      </c>
    </row>
    <row r="63" spans="1:7" ht="15" customHeight="1">
      <c r="A63" s="11"/>
      <c r="B63" s="11"/>
      <c r="C63" s="11"/>
      <c r="D63" s="11"/>
      <c r="E63" s="147" t="s">
        <v>401</v>
      </c>
      <c r="F63" s="148"/>
      <c r="G63" s="18">
        <v>13.05</v>
      </c>
    </row>
    <row r="64" spans="1:7" ht="9.9499999999999993" customHeight="1">
      <c r="A64" s="11"/>
      <c r="B64" s="11"/>
      <c r="C64" s="155" t="s">
        <v>370</v>
      </c>
      <c r="D64" s="156"/>
      <c r="E64" s="11"/>
      <c r="F64" s="11"/>
      <c r="G64" s="11"/>
    </row>
    <row r="65" spans="1:7" ht="20.100000000000001" customHeight="1">
      <c r="A65" s="149" t="s">
        <v>440</v>
      </c>
      <c r="B65" s="150"/>
      <c r="C65" s="150"/>
      <c r="D65" s="150"/>
      <c r="E65" s="150"/>
      <c r="F65" s="150"/>
      <c r="G65" s="150"/>
    </row>
    <row r="66" spans="1:7" ht="15" customHeight="1">
      <c r="A66" s="151" t="s">
        <v>414</v>
      </c>
      <c r="B66" s="152"/>
      <c r="C66" s="12" t="s">
        <v>373</v>
      </c>
      <c r="D66" s="12" t="s">
        <v>374</v>
      </c>
      <c r="E66" s="12" t="s">
        <v>375</v>
      </c>
      <c r="F66" s="12" t="s">
        <v>376</v>
      </c>
      <c r="G66" s="12" t="s">
        <v>377</v>
      </c>
    </row>
    <row r="67" spans="1:7" ht="15" customHeight="1">
      <c r="A67" s="13" t="s">
        <v>435</v>
      </c>
      <c r="B67" s="14" t="s">
        <v>436</v>
      </c>
      <c r="C67" s="13" t="s">
        <v>405</v>
      </c>
      <c r="D67" s="13" t="s">
        <v>381</v>
      </c>
      <c r="E67" s="15">
        <v>9.7100000000000006E-2</v>
      </c>
      <c r="F67" s="16">
        <v>9.6300000000000008</v>
      </c>
      <c r="G67" s="16">
        <v>0.94</v>
      </c>
    </row>
    <row r="68" spans="1:7" ht="15" customHeight="1">
      <c r="A68" s="13" t="s">
        <v>441</v>
      </c>
      <c r="B68" s="14" t="s">
        <v>442</v>
      </c>
      <c r="C68" s="13" t="s">
        <v>405</v>
      </c>
      <c r="D68" s="13" t="s">
        <v>381</v>
      </c>
      <c r="E68" s="15">
        <v>4.9399999999999999E-2</v>
      </c>
      <c r="F68" s="16">
        <v>12.97</v>
      </c>
      <c r="G68" s="16">
        <v>0.64</v>
      </c>
    </row>
    <row r="69" spans="1:7" ht="15" customHeight="1">
      <c r="A69" s="11"/>
      <c r="B69" s="11"/>
      <c r="C69" s="11"/>
      <c r="D69" s="11"/>
      <c r="E69" s="153" t="s">
        <v>431</v>
      </c>
      <c r="F69" s="154"/>
      <c r="G69" s="17">
        <v>1.58</v>
      </c>
    </row>
    <row r="70" spans="1:7" ht="15" customHeight="1">
      <c r="A70" s="11"/>
      <c r="B70" s="11"/>
      <c r="C70" s="11"/>
      <c r="D70" s="11"/>
      <c r="E70" s="147" t="s">
        <v>397</v>
      </c>
      <c r="F70" s="148"/>
      <c r="G70" s="18">
        <v>1.58</v>
      </c>
    </row>
    <row r="71" spans="1:7" ht="15" customHeight="1">
      <c r="A71" s="11"/>
      <c r="B71" s="11"/>
      <c r="C71" s="11"/>
      <c r="D71" s="11"/>
      <c r="E71" s="147" t="s">
        <v>398</v>
      </c>
      <c r="F71" s="148"/>
      <c r="G71" s="18">
        <v>0.69</v>
      </c>
    </row>
    <row r="72" spans="1:7" ht="15" customHeight="1">
      <c r="A72" s="11"/>
      <c r="B72" s="11"/>
      <c r="C72" s="11"/>
      <c r="D72" s="11"/>
      <c r="E72" s="147" t="s">
        <v>399</v>
      </c>
      <c r="F72" s="148"/>
      <c r="G72" s="18">
        <v>2.27</v>
      </c>
    </row>
    <row r="73" spans="1:7" ht="15" customHeight="1">
      <c r="A73" s="11"/>
      <c r="B73" s="11"/>
      <c r="C73" s="11"/>
      <c r="D73" s="11"/>
      <c r="E73" s="147" t="s">
        <v>400</v>
      </c>
      <c r="F73" s="148"/>
      <c r="G73" s="18">
        <v>0.55120000000000002</v>
      </c>
    </row>
    <row r="74" spans="1:7" ht="15" customHeight="1">
      <c r="A74" s="11"/>
      <c r="B74" s="11"/>
      <c r="C74" s="11"/>
      <c r="D74" s="11"/>
      <c r="E74" s="147" t="s">
        <v>401</v>
      </c>
      <c r="F74" s="148"/>
      <c r="G74" s="18">
        <v>2.82</v>
      </c>
    </row>
    <row r="75" spans="1:7" ht="9.9499999999999993" customHeight="1">
      <c r="A75" s="11"/>
      <c r="B75" s="11"/>
      <c r="C75" s="155" t="s">
        <v>370</v>
      </c>
      <c r="D75" s="156"/>
      <c r="E75" s="11"/>
      <c r="F75" s="11"/>
      <c r="G75" s="11"/>
    </row>
    <row r="76" spans="1:7" ht="20.100000000000001" customHeight="1">
      <c r="A76" s="149" t="s">
        <v>443</v>
      </c>
      <c r="B76" s="150"/>
      <c r="C76" s="150"/>
      <c r="D76" s="150"/>
      <c r="E76" s="150"/>
      <c r="F76" s="150"/>
      <c r="G76" s="150"/>
    </row>
    <row r="77" spans="1:7" ht="15" customHeight="1">
      <c r="A77" s="151" t="s">
        <v>414</v>
      </c>
      <c r="B77" s="152"/>
      <c r="C77" s="12" t="s">
        <v>373</v>
      </c>
      <c r="D77" s="12" t="s">
        <v>374</v>
      </c>
      <c r="E77" s="12" t="s">
        <v>375</v>
      </c>
      <c r="F77" s="12" t="s">
        <v>376</v>
      </c>
      <c r="G77" s="12" t="s">
        <v>377</v>
      </c>
    </row>
    <row r="78" spans="1:7" ht="15" customHeight="1">
      <c r="A78" s="13" t="s">
        <v>435</v>
      </c>
      <c r="B78" s="14" t="s">
        <v>436</v>
      </c>
      <c r="C78" s="13" t="s">
        <v>405</v>
      </c>
      <c r="D78" s="13" t="s">
        <v>381</v>
      </c>
      <c r="E78" s="15">
        <v>3.956</v>
      </c>
      <c r="F78" s="16">
        <v>9.6300000000000008</v>
      </c>
      <c r="G78" s="16">
        <v>38.1</v>
      </c>
    </row>
    <row r="79" spans="1:7" ht="15" customHeight="1">
      <c r="A79" s="11"/>
      <c r="B79" s="11"/>
      <c r="C79" s="11"/>
      <c r="D79" s="11"/>
      <c r="E79" s="153" t="s">
        <v>431</v>
      </c>
      <c r="F79" s="154"/>
      <c r="G79" s="17">
        <v>38.1</v>
      </c>
    </row>
    <row r="80" spans="1:7" ht="15" customHeight="1">
      <c r="A80" s="11"/>
      <c r="B80" s="11"/>
      <c r="C80" s="11"/>
      <c r="D80" s="11"/>
      <c r="E80" s="147" t="s">
        <v>397</v>
      </c>
      <c r="F80" s="148"/>
      <c r="G80" s="18">
        <v>38.1</v>
      </c>
    </row>
    <row r="81" spans="1:7" ht="15" customHeight="1">
      <c r="A81" s="11"/>
      <c r="B81" s="11"/>
      <c r="C81" s="11"/>
      <c r="D81" s="11"/>
      <c r="E81" s="147" t="s">
        <v>398</v>
      </c>
      <c r="F81" s="148"/>
      <c r="G81" s="18">
        <v>15.14</v>
      </c>
    </row>
    <row r="82" spans="1:7" ht="15" customHeight="1">
      <c r="A82" s="11"/>
      <c r="B82" s="11"/>
      <c r="C82" s="11"/>
      <c r="D82" s="11"/>
      <c r="E82" s="147" t="s">
        <v>399</v>
      </c>
      <c r="F82" s="148"/>
      <c r="G82" s="18">
        <v>53.24</v>
      </c>
    </row>
    <row r="83" spans="1:7" ht="15" customHeight="1">
      <c r="A83" s="11"/>
      <c r="B83" s="11"/>
      <c r="C83" s="11"/>
      <c r="D83" s="11"/>
      <c r="E83" s="147" t="s">
        <v>400</v>
      </c>
      <c r="F83" s="148"/>
      <c r="G83" s="18">
        <v>12.9267</v>
      </c>
    </row>
    <row r="84" spans="1:7" ht="15" customHeight="1">
      <c r="A84" s="11"/>
      <c r="B84" s="11"/>
      <c r="C84" s="11"/>
      <c r="D84" s="11"/>
      <c r="E84" s="147" t="s">
        <v>401</v>
      </c>
      <c r="F84" s="148"/>
      <c r="G84" s="18">
        <v>66.17</v>
      </c>
    </row>
    <row r="85" spans="1:7" ht="9.9499999999999993" customHeight="1">
      <c r="A85" s="11"/>
      <c r="B85" s="11"/>
      <c r="C85" s="155" t="s">
        <v>370</v>
      </c>
      <c r="D85" s="156"/>
      <c r="E85" s="11"/>
      <c r="F85" s="11"/>
      <c r="G85" s="11"/>
    </row>
    <row r="86" spans="1:7" ht="20.100000000000001" customHeight="1">
      <c r="A86" s="149" t="s">
        <v>444</v>
      </c>
      <c r="B86" s="150"/>
      <c r="C86" s="150"/>
      <c r="D86" s="150"/>
      <c r="E86" s="150"/>
      <c r="F86" s="150"/>
      <c r="G86" s="150"/>
    </row>
    <row r="87" spans="1:7" ht="15" customHeight="1">
      <c r="A87" s="151" t="s">
        <v>372</v>
      </c>
      <c r="B87" s="152"/>
      <c r="C87" s="12" t="s">
        <v>373</v>
      </c>
      <c r="D87" s="12" t="s">
        <v>374</v>
      </c>
      <c r="E87" s="12" t="s">
        <v>375</v>
      </c>
      <c r="F87" s="12" t="s">
        <v>376</v>
      </c>
      <c r="G87" s="12" t="s">
        <v>377</v>
      </c>
    </row>
    <row r="88" spans="1:7" ht="15" customHeight="1">
      <c r="A88" s="13" t="s">
        <v>378</v>
      </c>
      <c r="B88" s="14" t="s">
        <v>379</v>
      </c>
      <c r="C88" s="13" t="s">
        <v>380</v>
      </c>
      <c r="D88" s="13" t="s">
        <v>381</v>
      </c>
      <c r="E88" s="15">
        <v>2.5</v>
      </c>
      <c r="F88" s="16">
        <v>7.1327999999999996</v>
      </c>
      <c r="G88" s="16">
        <v>17.829999999999998</v>
      </c>
    </row>
    <row r="89" spans="1:7" ht="15" customHeight="1">
      <c r="A89" s="13" t="s">
        <v>445</v>
      </c>
      <c r="B89" s="14" t="s">
        <v>446</v>
      </c>
      <c r="C89" s="13" t="s">
        <v>380</v>
      </c>
      <c r="D89" s="13" t="s">
        <v>381</v>
      </c>
      <c r="E89" s="15">
        <v>0.1</v>
      </c>
      <c r="F89" s="16">
        <v>13.866099999999999</v>
      </c>
      <c r="G89" s="16">
        <v>1.39</v>
      </c>
    </row>
    <row r="90" spans="1:7" ht="15" customHeight="1">
      <c r="A90" s="11"/>
      <c r="B90" s="11"/>
      <c r="C90" s="11"/>
      <c r="D90" s="11"/>
      <c r="E90" s="153" t="s">
        <v>382</v>
      </c>
      <c r="F90" s="154"/>
      <c r="G90" s="17">
        <v>19.22</v>
      </c>
    </row>
    <row r="91" spans="1:7" ht="15" customHeight="1">
      <c r="A91" s="11"/>
      <c r="B91" s="11"/>
      <c r="C91" s="11"/>
      <c r="D91" s="11"/>
      <c r="E91" s="147" t="s">
        <v>397</v>
      </c>
      <c r="F91" s="148"/>
      <c r="G91" s="18">
        <v>19.22</v>
      </c>
    </row>
    <row r="92" spans="1:7" ht="15" customHeight="1">
      <c r="A92" s="11"/>
      <c r="B92" s="11"/>
      <c r="C92" s="11"/>
      <c r="D92" s="11"/>
      <c r="E92" s="147" t="s">
        <v>398</v>
      </c>
      <c r="F92" s="148"/>
      <c r="G92" s="18">
        <v>16.37</v>
      </c>
    </row>
    <row r="93" spans="1:7" ht="15" customHeight="1">
      <c r="A93" s="11"/>
      <c r="B93" s="11"/>
      <c r="C93" s="11"/>
      <c r="D93" s="11"/>
      <c r="E93" s="147" t="s">
        <v>399</v>
      </c>
      <c r="F93" s="148"/>
      <c r="G93" s="18">
        <v>35.590000000000003</v>
      </c>
    </row>
    <row r="94" spans="1:7" ht="15" customHeight="1">
      <c r="A94" s="11"/>
      <c r="B94" s="11"/>
      <c r="C94" s="11"/>
      <c r="D94" s="11"/>
      <c r="E94" s="147" t="s">
        <v>400</v>
      </c>
      <c r="F94" s="148"/>
      <c r="G94" s="18">
        <v>8.6412999999999993</v>
      </c>
    </row>
    <row r="95" spans="1:7" ht="15" customHeight="1">
      <c r="A95" s="11"/>
      <c r="B95" s="11"/>
      <c r="C95" s="11"/>
      <c r="D95" s="11"/>
      <c r="E95" s="147" t="s">
        <v>401</v>
      </c>
      <c r="F95" s="148"/>
      <c r="G95" s="18">
        <v>44.23</v>
      </c>
    </row>
    <row r="96" spans="1:7" ht="9.9499999999999993" customHeight="1">
      <c r="A96" s="11"/>
      <c r="B96" s="11"/>
      <c r="C96" s="155" t="s">
        <v>370</v>
      </c>
      <c r="D96" s="156"/>
      <c r="E96" s="11"/>
      <c r="F96" s="11"/>
      <c r="G96" s="11"/>
    </row>
    <row r="97" spans="1:7" ht="20.100000000000001" customHeight="1">
      <c r="A97" s="149" t="s">
        <v>447</v>
      </c>
      <c r="B97" s="150"/>
      <c r="C97" s="150"/>
      <c r="D97" s="150"/>
      <c r="E97" s="150"/>
      <c r="F97" s="150"/>
      <c r="G97" s="150"/>
    </row>
    <row r="98" spans="1:7" ht="12" customHeight="1">
      <c r="A98" s="158"/>
      <c r="B98" s="158"/>
      <c r="C98" s="158"/>
      <c r="D98" s="158"/>
      <c r="E98" s="158"/>
      <c r="F98" s="158"/>
      <c r="G98" s="158"/>
    </row>
    <row r="99" spans="1:7" ht="15" customHeight="1">
      <c r="A99" s="151" t="s">
        <v>372</v>
      </c>
      <c r="B99" s="152"/>
      <c r="C99" s="12" t="s">
        <v>373</v>
      </c>
      <c r="D99" s="12" t="s">
        <v>374</v>
      </c>
      <c r="E99" s="12" t="s">
        <v>375</v>
      </c>
      <c r="F99" s="12" t="s">
        <v>376</v>
      </c>
      <c r="G99" s="12" t="s">
        <v>377</v>
      </c>
    </row>
    <row r="100" spans="1:7" ht="15" customHeight="1">
      <c r="A100" s="13" t="s">
        <v>378</v>
      </c>
      <c r="B100" s="14" t="s">
        <v>379</v>
      </c>
      <c r="C100" s="13" t="s">
        <v>380</v>
      </c>
      <c r="D100" s="13" t="s">
        <v>381</v>
      </c>
      <c r="E100" s="15">
        <v>1.7</v>
      </c>
      <c r="F100" s="16">
        <v>7.1327999999999996</v>
      </c>
      <c r="G100" s="16">
        <v>12.13</v>
      </c>
    </row>
    <row r="101" spans="1:7" ht="15" customHeight="1">
      <c r="A101" s="11"/>
      <c r="B101" s="11"/>
      <c r="C101" s="11"/>
      <c r="D101" s="11"/>
      <c r="E101" s="153" t="s">
        <v>382</v>
      </c>
      <c r="F101" s="154"/>
      <c r="G101" s="17">
        <v>12.13</v>
      </c>
    </row>
    <row r="102" spans="1:7" ht="15" customHeight="1">
      <c r="A102" s="11"/>
      <c r="B102" s="11"/>
      <c r="C102" s="11"/>
      <c r="D102" s="11"/>
      <c r="E102" s="147" t="s">
        <v>397</v>
      </c>
      <c r="F102" s="148"/>
      <c r="G102" s="18">
        <v>12.13</v>
      </c>
    </row>
    <row r="103" spans="1:7" ht="15" customHeight="1">
      <c r="A103" s="11"/>
      <c r="B103" s="11"/>
      <c r="C103" s="11"/>
      <c r="D103" s="11"/>
      <c r="E103" s="147" t="s">
        <v>398</v>
      </c>
      <c r="F103" s="148"/>
      <c r="G103" s="18">
        <v>10.33</v>
      </c>
    </row>
    <row r="104" spans="1:7" ht="15" customHeight="1">
      <c r="A104" s="11"/>
      <c r="B104" s="11"/>
      <c r="C104" s="11"/>
      <c r="D104" s="11"/>
      <c r="E104" s="147" t="s">
        <v>399</v>
      </c>
      <c r="F104" s="148"/>
      <c r="G104" s="18">
        <v>22.46</v>
      </c>
    </row>
    <row r="105" spans="1:7" ht="15" customHeight="1">
      <c r="A105" s="11"/>
      <c r="B105" s="11"/>
      <c r="C105" s="11"/>
      <c r="D105" s="11"/>
      <c r="E105" s="147" t="s">
        <v>400</v>
      </c>
      <c r="F105" s="148"/>
      <c r="G105" s="18">
        <v>5.4532999999999996</v>
      </c>
    </row>
    <row r="106" spans="1:7" ht="15" customHeight="1">
      <c r="A106" s="11"/>
      <c r="B106" s="11"/>
      <c r="C106" s="11"/>
      <c r="D106" s="11"/>
      <c r="E106" s="147" t="s">
        <v>401</v>
      </c>
      <c r="F106" s="148"/>
      <c r="G106" s="18">
        <v>27.91</v>
      </c>
    </row>
    <row r="107" spans="1:7" ht="9.9499999999999993" customHeight="1">
      <c r="A107" s="11"/>
      <c r="B107" s="11"/>
      <c r="C107" s="155" t="s">
        <v>370</v>
      </c>
      <c r="D107" s="156"/>
      <c r="E107" s="11"/>
      <c r="F107" s="11"/>
      <c r="G107" s="11"/>
    </row>
    <row r="108" spans="1:7" ht="20.100000000000001" customHeight="1">
      <c r="A108" s="149" t="s">
        <v>448</v>
      </c>
      <c r="B108" s="150"/>
      <c r="C108" s="150"/>
      <c r="D108" s="150"/>
      <c r="E108" s="150"/>
      <c r="F108" s="150"/>
      <c r="G108" s="150"/>
    </row>
    <row r="109" spans="1:7" ht="15" customHeight="1">
      <c r="A109" s="151" t="s">
        <v>372</v>
      </c>
      <c r="B109" s="152"/>
      <c r="C109" s="12" t="s">
        <v>373</v>
      </c>
      <c r="D109" s="12" t="s">
        <v>374</v>
      </c>
      <c r="E109" s="12" t="s">
        <v>375</v>
      </c>
      <c r="F109" s="12" t="s">
        <v>376</v>
      </c>
      <c r="G109" s="12" t="s">
        <v>377</v>
      </c>
    </row>
    <row r="110" spans="1:7" ht="15" customHeight="1">
      <c r="A110" s="13" t="s">
        <v>378</v>
      </c>
      <c r="B110" s="14" t="s">
        <v>379</v>
      </c>
      <c r="C110" s="13" t="s">
        <v>380</v>
      </c>
      <c r="D110" s="13" t="s">
        <v>381</v>
      </c>
      <c r="E110" s="15">
        <v>1.7</v>
      </c>
      <c r="F110" s="16">
        <v>7.1327999999999996</v>
      </c>
      <c r="G110" s="16">
        <v>12.13</v>
      </c>
    </row>
    <row r="111" spans="1:7" ht="15" customHeight="1">
      <c r="A111" s="11"/>
      <c r="B111" s="11"/>
      <c r="C111" s="11"/>
      <c r="D111" s="11"/>
      <c r="E111" s="153" t="s">
        <v>382</v>
      </c>
      <c r="F111" s="154"/>
      <c r="G111" s="17">
        <v>12.13</v>
      </c>
    </row>
    <row r="112" spans="1:7" ht="15" customHeight="1">
      <c r="A112" s="151" t="s">
        <v>414</v>
      </c>
      <c r="B112" s="152"/>
      <c r="C112" s="12" t="s">
        <v>373</v>
      </c>
      <c r="D112" s="12" t="s">
        <v>374</v>
      </c>
      <c r="E112" s="12" t="s">
        <v>375</v>
      </c>
      <c r="F112" s="12" t="s">
        <v>376</v>
      </c>
      <c r="G112" s="12" t="s">
        <v>377</v>
      </c>
    </row>
    <row r="113" spans="1:7" ht="15" customHeight="1">
      <c r="A113" s="13" t="s">
        <v>449</v>
      </c>
      <c r="B113" s="14" t="s">
        <v>450</v>
      </c>
      <c r="C113" s="13" t="s">
        <v>380</v>
      </c>
      <c r="D113" s="13" t="s">
        <v>427</v>
      </c>
      <c r="E113" s="15">
        <v>1.1000000000000001</v>
      </c>
      <c r="F113" s="16">
        <v>3.44</v>
      </c>
      <c r="G113" s="16">
        <v>3.78</v>
      </c>
    </row>
    <row r="114" spans="1:7" ht="15" customHeight="1">
      <c r="A114" s="11"/>
      <c r="B114" s="11"/>
      <c r="C114" s="11"/>
      <c r="D114" s="11"/>
      <c r="E114" s="153" t="s">
        <v>431</v>
      </c>
      <c r="F114" s="154"/>
      <c r="G114" s="17">
        <v>3.78</v>
      </c>
    </row>
    <row r="115" spans="1:7" ht="15" customHeight="1">
      <c r="A115" s="11"/>
      <c r="B115" s="11"/>
      <c r="C115" s="11"/>
      <c r="D115" s="11"/>
      <c r="E115" s="147" t="s">
        <v>397</v>
      </c>
      <c r="F115" s="148"/>
      <c r="G115" s="18">
        <v>15.91</v>
      </c>
    </row>
    <row r="116" spans="1:7" ht="15" customHeight="1">
      <c r="A116" s="11"/>
      <c r="B116" s="11"/>
      <c r="C116" s="11"/>
      <c r="D116" s="11"/>
      <c r="E116" s="147" t="s">
        <v>398</v>
      </c>
      <c r="F116" s="148"/>
      <c r="G116" s="18">
        <v>10.6</v>
      </c>
    </row>
    <row r="117" spans="1:7" ht="15" customHeight="1">
      <c r="A117" s="11"/>
      <c r="B117" s="11"/>
      <c r="C117" s="11"/>
      <c r="D117" s="11"/>
      <c r="E117" s="147" t="s">
        <v>399</v>
      </c>
      <c r="F117" s="148"/>
      <c r="G117" s="18">
        <v>26.51</v>
      </c>
    </row>
    <row r="118" spans="1:7" ht="15" customHeight="1">
      <c r="A118" s="11"/>
      <c r="B118" s="11"/>
      <c r="C118" s="11"/>
      <c r="D118" s="11"/>
      <c r="E118" s="147" t="s">
        <v>400</v>
      </c>
      <c r="F118" s="148"/>
      <c r="G118" s="18">
        <v>6.4366000000000003</v>
      </c>
    </row>
    <row r="119" spans="1:7" ht="15" customHeight="1">
      <c r="A119" s="11"/>
      <c r="B119" s="11"/>
      <c r="C119" s="11"/>
      <c r="D119" s="11"/>
      <c r="E119" s="147" t="s">
        <v>401</v>
      </c>
      <c r="F119" s="148"/>
      <c r="G119" s="18">
        <v>32.950000000000003</v>
      </c>
    </row>
    <row r="120" spans="1:7" ht="9.9499999999999993" customHeight="1">
      <c r="A120" s="11"/>
      <c r="B120" s="11"/>
      <c r="C120" s="155" t="s">
        <v>370</v>
      </c>
      <c r="D120" s="156"/>
      <c r="E120" s="11"/>
      <c r="F120" s="11"/>
      <c r="G120" s="11"/>
    </row>
    <row r="121" spans="1:7" ht="20.100000000000001" customHeight="1">
      <c r="A121" s="149" t="s">
        <v>451</v>
      </c>
      <c r="B121" s="150"/>
      <c r="C121" s="150"/>
      <c r="D121" s="150"/>
      <c r="E121" s="150"/>
      <c r="F121" s="150"/>
      <c r="G121" s="150"/>
    </row>
    <row r="122" spans="1:7" ht="15" customHeight="1">
      <c r="A122" s="151" t="s">
        <v>372</v>
      </c>
      <c r="B122" s="152"/>
      <c r="C122" s="12" t="s">
        <v>373</v>
      </c>
      <c r="D122" s="12" t="s">
        <v>374</v>
      </c>
      <c r="E122" s="12" t="s">
        <v>375</v>
      </c>
      <c r="F122" s="12" t="s">
        <v>376</v>
      </c>
      <c r="G122" s="12" t="s">
        <v>377</v>
      </c>
    </row>
    <row r="123" spans="1:7" ht="15" customHeight="1">
      <c r="A123" s="13" t="s">
        <v>438</v>
      </c>
      <c r="B123" s="14" t="s">
        <v>439</v>
      </c>
      <c r="C123" s="13" t="s">
        <v>380</v>
      </c>
      <c r="D123" s="13" t="s">
        <v>381</v>
      </c>
      <c r="E123" s="15">
        <v>8.5</v>
      </c>
      <c r="F123" s="16">
        <v>9.6273999999999997</v>
      </c>
      <c r="G123" s="16">
        <v>81.83</v>
      </c>
    </row>
    <row r="124" spans="1:7" ht="15" customHeight="1">
      <c r="A124" s="13" t="s">
        <v>378</v>
      </c>
      <c r="B124" s="14" t="s">
        <v>379</v>
      </c>
      <c r="C124" s="13" t="s">
        <v>380</v>
      </c>
      <c r="D124" s="13" t="s">
        <v>381</v>
      </c>
      <c r="E124" s="15">
        <v>9.1999999999999993</v>
      </c>
      <c r="F124" s="16">
        <v>7.1327999999999996</v>
      </c>
      <c r="G124" s="16">
        <v>65.62</v>
      </c>
    </row>
    <row r="125" spans="1:7" ht="15" customHeight="1">
      <c r="A125" s="11"/>
      <c r="B125" s="11"/>
      <c r="C125" s="11"/>
      <c r="D125" s="11"/>
      <c r="E125" s="153" t="s">
        <v>382</v>
      </c>
      <c r="F125" s="154"/>
      <c r="G125" s="17">
        <v>147.44999999999999</v>
      </c>
    </row>
    <row r="126" spans="1:7" ht="15" customHeight="1">
      <c r="A126" s="151" t="s">
        <v>383</v>
      </c>
      <c r="B126" s="152"/>
      <c r="C126" s="12" t="s">
        <v>373</v>
      </c>
      <c r="D126" s="12" t="s">
        <v>374</v>
      </c>
      <c r="E126" s="12" t="s">
        <v>375</v>
      </c>
      <c r="F126" s="12" t="s">
        <v>376</v>
      </c>
      <c r="G126" s="12" t="s">
        <v>377</v>
      </c>
    </row>
    <row r="127" spans="1:7" ht="15" customHeight="1">
      <c r="A127" s="13" t="s">
        <v>452</v>
      </c>
      <c r="B127" s="14" t="s">
        <v>453</v>
      </c>
      <c r="C127" s="13" t="s">
        <v>380</v>
      </c>
      <c r="D127" s="13" t="s">
        <v>427</v>
      </c>
      <c r="E127" s="15">
        <v>0.21</v>
      </c>
      <c r="F127" s="16">
        <v>55</v>
      </c>
      <c r="G127" s="16">
        <v>11.55</v>
      </c>
    </row>
    <row r="128" spans="1:7" ht="15" customHeight="1">
      <c r="A128" s="13" t="s">
        <v>454</v>
      </c>
      <c r="B128" s="14" t="s">
        <v>455</v>
      </c>
      <c r="C128" s="13" t="s">
        <v>380</v>
      </c>
      <c r="D128" s="13" t="s">
        <v>395</v>
      </c>
      <c r="E128" s="15">
        <v>30.95</v>
      </c>
      <c r="F128" s="16">
        <v>1.1000000000000001</v>
      </c>
      <c r="G128" s="16">
        <v>34.049999999999997</v>
      </c>
    </row>
    <row r="129" spans="1:7" ht="15" customHeight="1">
      <c r="A129" s="13" t="s">
        <v>456</v>
      </c>
      <c r="B129" s="14" t="s">
        <v>457</v>
      </c>
      <c r="C129" s="13" t="s">
        <v>380</v>
      </c>
      <c r="D129" s="13" t="s">
        <v>395</v>
      </c>
      <c r="E129" s="15">
        <v>30.95</v>
      </c>
      <c r="F129" s="16">
        <v>0.46</v>
      </c>
      <c r="G129" s="16">
        <v>14.24</v>
      </c>
    </row>
    <row r="130" spans="1:7" ht="15" customHeight="1">
      <c r="A130" s="13" t="s">
        <v>458</v>
      </c>
      <c r="B130" s="14" t="s">
        <v>459</v>
      </c>
      <c r="C130" s="13" t="s">
        <v>380</v>
      </c>
      <c r="D130" s="13" t="s">
        <v>430</v>
      </c>
      <c r="E130" s="15">
        <v>235</v>
      </c>
      <c r="F130" s="16">
        <v>0.42</v>
      </c>
      <c r="G130" s="16">
        <v>98.7</v>
      </c>
    </row>
    <row r="131" spans="1:7" ht="15" customHeight="1">
      <c r="A131" s="11"/>
      <c r="B131" s="11"/>
      <c r="C131" s="11"/>
      <c r="D131" s="11"/>
      <c r="E131" s="153" t="s">
        <v>396</v>
      </c>
      <c r="F131" s="154"/>
      <c r="G131" s="17">
        <v>158.54</v>
      </c>
    </row>
    <row r="132" spans="1:7" ht="15" customHeight="1">
      <c r="A132" s="11"/>
      <c r="B132" s="11"/>
      <c r="C132" s="11"/>
      <c r="D132" s="11"/>
      <c r="E132" s="147" t="s">
        <v>397</v>
      </c>
      <c r="F132" s="148"/>
      <c r="G132" s="18">
        <v>305.99</v>
      </c>
    </row>
    <row r="133" spans="1:7" ht="15" customHeight="1">
      <c r="A133" s="11"/>
      <c r="B133" s="11"/>
      <c r="C133" s="11"/>
      <c r="D133" s="11"/>
      <c r="E133" s="147" t="s">
        <v>398</v>
      </c>
      <c r="F133" s="148"/>
      <c r="G133" s="18">
        <v>125.63</v>
      </c>
    </row>
    <row r="134" spans="1:7" ht="15" customHeight="1">
      <c r="A134" s="11"/>
      <c r="B134" s="11"/>
      <c r="C134" s="11"/>
      <c r="D134" s="11"/>
      <c r="E134" s="147" t="s">
        <v>399</v>
      </c>
      <c r="F134" s="148"/>
      <c r="G134" s="18">
        <v>431.62</v>
      </c>
    </row>
    <row r="135" spans="1:7" ht="15" customHeight="1">
      <c r="A135" s="11"/>
      <c r="B135" s="11"/>
      <c r="C135" s="11"/>
      <c r="D135" s="11"/>
      <c r="E135" s="147" t="s">
        <v>400</v>
      </c>
      <c r="F135" s="148"/>
      <c r="G135" s="18">
        <v>104.79730000000001</v>
      </c>
    </row>
    <row r="136" spans="1:7" ht="15" customHeight="1">
      <c r="A136" s="11"/>
      <c r="B136" s="11"/>
      <c r="C136" s="11"/>
      <c r="D136" s="11"/>
      <c r="E136" s="147" t="s">
        <v>401</v>
      </c>
      <c r="F136" s="148"/>
      <c r="G136" s="18">
        <v>536.41999999999996</v>
      </c>
    </row>
    <row r="137" spans="1:7" ht="9.9499999999999993" customHeight="1">
      <c r="A137" s="11"/>
      <c r="B137" s="11"/>
      <c r="C137" s="155" t="s">
        <v>370</v>
      </c>
      <c r="D137" s="156"/>
      <c r="E137" s="11"/>
      <c r="F137" s="11"/>
      <c r="G137" s="11"/>
    </row>
    <row r="138" spans="1:7" ht="20.100000000000001" customHeight="1">
      <c r="A138" s="149" t="s">
        <v>460</v>
      </c>
      <c r="B138" s="150"/>
      <c r="C138" s="150"/>
      <c r="D138" s="150"/>
      <c r="E138" s="150"/>
      <c r="F138" s="150"/>
      <c r="G138" s="150"/>
    </row>
    <row r="139" spans="1:7" ht="15" customHeight="1">
      <c r="A139" s="151" t="s">
        <v>372</v>
      </c>
      <c r="B139" s="152"/>
      <c r="C139" s="12" t="s">
        <v>373</v>
      </c>
      <c r="D139" s="12" t="s">
        <v>374</v>
      </c>
      <c r="E139" s="12" t="s">
        <v>375</v>
      </c>
      <c r="F139" s="12" t="s">
        <v>376</v>
      </c>
      <c r="G139" s="12" t="s">
        <v>377</v>
      </c>
    </row>
    <row r="140" spans="1:7" ht="15" customHeight="1">
      <c r="A140" s="13" t="s">
        <v>461</v>
      </c>
      <c r="B140" s="14" t="s">
        <v>462</v>
      </c>
      <c r="C140" s="13" t="s">
        <v>380</v>
      </c>
      <c r="D140" s="13" t="s">
        <v>381</v>
      </c>
      <c r="E140" s="15">
        <v>1.3</v>
      </c>
      <c r="F140" s="16">
        <v>7.8402000000000003</v>
      </c>
      <c r="G140" s="16">
        <v>10.19</v>
      </c>
    </row>
    <row r="141" spans="1:7" ht="15" customHeight="1">
      <c r="A141" s="13" t="s">
        <v>463</v>
      </c>
      <c r="B141" s="14" t="s">
        <v>464</v>
      </c>
      <c r="C141" s="13" t="s">
        <v>380</v>
      </c>
      <c r="D141" s="13" t="s">
        <v>381</v>
      </c>
      <c r="E141" s="15">
        <v>1.3</v>
      </c>
      <c r="F141" s="16">
        <v>9.6273999999999997</v>
      </c>
      <c r="G141" s="16">
        <v>12.52</v>
      </c>
    </row>
    <row r="142" spans="1:7" ht="15" customHeight="1">
      <c r="A142" s="11"/>
      <c r="B142" s="11"/>
      <c r="C142" s="11"/>
      <c r="D142" s="11"/>
      <c r="E142" s="153" t="s">
        <v>382</v>
      </c>
      <c r="F142" s="154"/>
      <c r="G142" s="17">
        <v>22.71</v>
      </c>
    </row>
    <row r="143" spans="1:7" ht="15" customHeight="1">
      <c r="A143" s="151" t="s">
        <v>383</v>
      </c>
      <c r="B143" s="152"/>
      <c r="C143" s="12" t="s">
        <v>373</v>
      </c>
      <c r="D143" s="12" t="s">
        <v>374</v>
      </c>
      <c r="E143" s="12" t="s">
        <v>375</v>
      </c>
      <c r="F143" s="12" t="s">
        <v>376</v>
      </c>
      <c r="G143" s="12" t="s">
        <v>377</v>
      </c>
    </row>
    <row r="144" spans="1:7" ht="15" customHeight="1">
      <c r="A144" s="13" t="s">
        <v>465</v>
      </c>
      <c r="B144" s="14" t="s">
        <v>466</v>
      </c>
      <c r="C144" s="13" t="s">
        <v>380</v>
      </c>
      <c r="D144" s="13" t="s">
        <v>389</v>
      </c>
      <c r="E144" s="15">
        <v>0.4</v>
      </c>
      <c r="F144" s="16">
        <v>8.3000000000000007</v>
      </c>
      <c r="G144" s="16">
        <v>3.32</v>
      </c>
    </row>
    <row r="145" spans="1:7" ht="15" customHeight="1">
      <c r="A145" s="13" t="s">
        <v>467</v>
      </c>
      <c r="B145" s="14" t="s">
        <v>468</v>
      </c>
      <c r="C145" s="13" t="s">
        <v>380</v>
      </c>
      <c r="D145" s="13" t="s">
        <v>395</v>
      </c>
      <c r="E145" s="15">
        <v>0.15</v>
      </c>
      <c r="F145" s="16">
        <v>11.26</v>
      </c>
      <c r="G145" s="16">
        <v>1.69</v>
      </c>
    </row>
    <row r="146" spans="1:7" ht="15" customHeight="1">
      <c r="A146" s="13" t="s">
        <v>469</v>
      </c>
      <c r="B146" s="14" t="s">
        <v>470</v>
      </c>
      <c r="C146" s="13" t="s">
        <v>380</v>
      </c>
      <c r="D146" s="13" t="s">
        <v>392</v>
      </c>
      <c r="E146" s="15">
        <v>0.5</v>
      </c>
      <c r="F146" s="16">
        <v>4.74</v>
      </c>
      <c r="G146" s="16">
        <v>2.37</v>
      </c>
    </row>
    <row r="147" spans="1:7" ht="15" customHeight="1">
      <c r="A147" s="13" t="s">
        <v>471</v>
      </c>
      <c r="B147" s="14" t="s">
        <v>472</v>
      </c>
      <c r="C147" s="13" t="s">
        <v>380</v>
      </c>
      <c r="D147" s="13" t="s">
        <v>392</v>
      </c>
      <c r="E147" s="15">
        <v>1</v>
      </c>
      <c r="F147" s="16">
        <v>8.07</v>
      </c>
      <c r="G147" s="16">
        <v>8.07</v>
      </c>
    </row>
    <row r="148" spans="1:7" ht="15" customHeight="1">
      <c r="A148" s="11"/>
      <c r="B148" s="11"/>
      <c r="C148" s="11"/>
      <c r="D148" s="11"/>
      <c r="E148" s="153" t="s">
        <v>396</v>
      </c>
      <c r="F148" s="154"/>
      <c r="G148" s="17">
        <v>15.45</v>
      </c>
    </row>
    <row r="149" spans="1:7" ht="15" customHeight="1">
      <c r="A149" s="11"/>
      <c r="B149" s="11"/>
      <c r="C149" s="11"/>
      <c r="D149" s="11"/>
      <c r="E149" s="147" t="s">
        <v>397</v>
      </c>
      <c r="F149" s="148"/>
      <c r="G149" s="18">
        <v>38.159999999999997</v>
      </c>
    </row>
    <row r="150" spans="1:7" ht="15" customHeight="1">
      <c r="A150" s="11"/>
      <c r="B150" s="11"/>
      <c r="C150" s="11"/>
      <c r="D150" s="11"/>
      <c r="E150" s="147" t="s">
        <v>398</v>
      </c>
      <c r="F150" s="148"/>
      <c r="G150" s="18">
        <v>19.34</v>
      </c>
    </row>
    <row r="151" spans="1:7" ht="15" customHeight="1">
      <c r="A151" s="11"/>
      <c r="B151" s="11"/>
      <c r="C151" s="11"/>
      <c r="D151" s="11"/>
      <c r="E151" s="147" t="s">
        <v>399</v>
      </c>
      <c r="F151" s="148"/>
      <c r="G151" s="18">
        <v>57.5</v>
      </c>
    </row>
    <row r="152" spans="1:7" ht="15" customHeight="1">
      <c r="A152" s="11"/>
      <c r="B152" s="11"/>
      <c r="C152" s="11"/>
      <c r="D152" s="11"/>
      <c r="E152" s="147" t="s">
        <v>400</v>
      </c>
      <c r="F152" s="148"/>
      <c r="G152" s="18">
        <v>13.961</v>
      </c>
    </row>
    <row r="153" spans="1:7" ht="15" customHeight="1">
      <c r="A153" s="11"/>
      <c r="B153" s="11"/>
      <c r="C153" s="11"/>
      <c r="D153" s="11"/>
      <c r="E153" s="147" t="s">
        <v>401</v>
      </c>
      <c r="F153" s="148"/>
      <c r="G153" s="18">
        <v>71.459999999999994</v>
      </c>
    </row>
    <row r="154" spans="1:7" ht="9.9499999999999993" customHeight="1">
      <c r="A154" s="11"/>
      <c r="B154" s="11"/>
      <c r="C154" s="155" t="s">
        <v>370</v>
      </c>
      <c r="D154" s="156"/>
      <c r="E154" s="11"/>
      <c r="F154" s="11"/>
      <c r="G154" s="11"/>
    </row>
    <row r="155" spans="1:7" ht="20.100000000000001" customHeight="1">
      <c r="A155" s="149" t="s">
        <v>473</v>
      </c>
      <c r="B155" s="150"/>
      <c r="C155" s="150"/>
      <c r="D155" s="150"/>
      <c r="E155" s="150"/>
      <c r="F155" s="150"/>
      <c r="G155" s="150"/>
    </row>
    <row r="156" spans="1:7" ht="15" customHeight="1">
      <c r="A156" s="151" t="s">
        <v>383</v>
      </c>
      <c r="B156" s="152"/>
      <c r="C156" s="12" t="s">
        <v>373</v>
      </c>
      <c r="D156" s="12" t="s">
        <v>374</v>
      </c>
      <c r="E156" s="12" t="s">
        <v>375</v>
      </c>
      <c r="F156" s="12" t="s">
        <v>376</v>
      </c>
      <c r="G156" s="12" t="s">
        <v>377</v>
      </c>
    </row>
    <row r="157" spans="1:7" ht="20.100000000000001" customHeight="1">
      <c r="A157" s="13" t="s">
        <v>474</v>
      </c>
      <c r="B157" s="14" t="s">
        <v>475</v>
      </c>
      <c r="C157" s="13" t="s">
        <v>405</v>
      </c>
      <c r="D157" s="13" t="s">
        <v>389</v>
      </c>
      <c r="E157" s="15">
        <v>1.7000000000000001E-2</v>
      </c>
      <c r="F157" s="16">
        <v>5.64</v>
      </c>
      <c r="G157" s="16">
        <v>0.1</v>
      </c>
    </row>
    <row r="158" spans="1:7" ht="15" customHeight="1">
      <c r="A158" s="13" t="s">
        <v>476</v>
      </c>
      <c r="B158" s="14" t="s">
        <v>477</v>
      </c>
      <c r="C158" s="13" t="s">
        <v>405</v>
      </c>
      <c r="D158" s="13" t="s">
        <v>395</v>
      </c>
      <c r="E158" s="15">
        <v>2.7E-2</v>
      </c>
      <c r="F158" s="16">
        <v>16.95</v>
      </c>
      <c r="G158" s="16">
        <v>0.46</v>
      </c>
    </row>
    <row r="159" spans="1:7" ht="15" customHeight="1">
      <c r="A159" s="11"/>
      <c r="B159" s="11"/>
      <c r="C159" s="11"/>
      <c r="D159" s="11"/>
      <c r="E159" s="153" t="s">
        <v>396</v>
      </c>
      <c r="F159" s="154"/>
      <c r="G159" s="17">
        <v>0.56000000000000005</v>
      </c>
    </row>
    <row r="160" spans="1:7" ht="15" customHeight="1">
      <c r="A160" s="151" t="s">
        <v>414</v>
      </c>
      <c r="B160" s="152"/>
      <c r="C160" s="12" t="s">
        <v>373</v>
      </c>
      <c r="D160" s="12" t="s">
        <v>374</v>
      </c>
      <c r="E160" s="12" t="s">
        <v>375</v>
      </c>
      <c r="F160" s="12" t="s">
        <v>376</v>
      </c>
      <c r="G160" s="12" t="s">
        <v>377</v>
      </c>
    </row>
    <row r="161" spans="1:7" ht="15" customHeight="1">
      <c r="A161" s="13" t="s">
        <v>415</v>
      </c>
      <c r="B161" s="14" t="s">
        <v>416</v>
      </c>
      <c r="C161" s="13" t="s">
        <v>405</v>
      </c>
      <c r="D161" s="13" t="s">
        <v>381</v>
      </c>
      <c r="E161" s="15">
        <v>0.376</v>
      </c>
      <c r="F161" s="16">
        <v>10.27</v>
      </c>
      <c r="G161" s="16">
        <v>3.86</v>
      </c>
    </row>
    <row r="162" spans="1:7" ht="15" customHeight="1">
      <c r="A162" s="13" t="s">
        <v>417</v>
      </c>
      <c r="B162" s="14" t="s">
        <v>418</v>
      </c>
      <c r="C162" s="13" t="s">
        <v>405</v>
      </c>
      <c r="D162" s="13" t="s">
        <v>381</v>
      </c>
      <c r="E162" s="15">
        <v>2.052</v>
      </c>
      <c r="F162" s="16">
        <v>11.68</v>
      </c>
      <c r="G162" s="16">
        <v>23.97</v>
      </c>
    </row>
    <row r="163" spans="1:7" ht="20.100000000000001" customHeight="1">
      <c r="A163" s="13" t="s">
        <v>478</v>
      </c>
      <c r="B163" s="14" t="s">
        <v>479</v>
      </c>
      <c r="C163" s="13" t="s">
        <v>405</v>
      </c>
      <c r="D163" s="13" t="s">
        <v>386</v>
      </c>
      <c r="E163" s="15">
        <v>0.27500000000000002</v>
      </c>
      <c r="F163" s="16">
        <v>78.510000000000005</v>
      </c>
      <c r="G163" s="16">
        <v>21.59</v>
      </c>
    </row>
    <row r="164" spans="1:7" ht="15" customHeight="1">
      <c r="A164" s="11"/>
      <c r="B164" s="11"/>
      <c r="C164" s="11"/>
      <c r="D164" s="11"/>
      <c r="E164" s="153" t="s">
        <v>431</v>
      </c>
      <c r="F164" s="154"/>
      <c r="G164" s="17">
        <v>49.42</v>
      </c>
    </row>
    <row r="165" spans="1:7" ht="15" customHeight="1">
      <c r="A165" s="11"/>
      <c r="B165" s="11"/>
      <c r="C165" s="11"/>
      <c r="D165" s="11"/>
      <c r="E165" s="147" t="s">
        <v>397</v>
      </c>
      <c r="F165" s="148"/>
      <c r="G165" s="18">
        <v>49.98</v>
      </c>
    </row>
    <row r="166" spans="1:7" ht="15" customHeight="1">
      <c r="A166" s="11"/>
      <c r="B166" s="11"/>
      <c r="C166" s="11"/>
      <c r="D166" s="11"/>
      <c r="E166" s="147" t="s">
        <v>398</v>
      </c>
      <c r="F166" s="148"/>
      <c r="G166" s="18">
        <v>14.53</v>
      </c>
    </row>
    <row r="167" spans="1:7" ht="15" customHeight="1">
      <c r="A167" s="11"/>
      <c r="B167" s="11"/>
      <c r="C167" s="11"/>
      <c r="D167" s="11"/>
      <c r="E167" s="147" t="s">
        <v>399</v>
      </c>
      <c r="F167" s="148"/>
      <c r="G167" s="18">
        <v>64.510000000000005</v>
      </c>
    </row>
    <row r="168" spans="1:7" ht="15" customHeight="1">
      <c r="A168" s="11"/>
      <c r="B168" s="11"/>
      <c r="C168" s="11"/>
      <c r="D168" s="11"/>
      <c r="E168" s="147" t="s">
        <v>400</v>
      </c>
      <c r="F168" s="148"/>
      <c r="G168" s="18">
        <v>15.663</v>
      </c>
    </row>
    <row r="169" spans="1:7" ht="15" customHeight="1">
      <c r="A169" s="11"/>
      <c r="B169" s="11"/>
      <c r="C169" s="11"/>
      <c r="D169" s="11"/>
      <c r="E169" s="147" t="s">
        <v>401</v>
      </c>
      <c r="F169" s="148"/>
      <c r="G169" s="18">
        <v>80.17</v>
      </c>
    </row>
    <row r="170" spans="1:7" ht="9.9499999999999993" customHeight="1">
      <c r="A170" s="11"/>
      <c r="B170" s="11"/>
      <c r="C170" s="155" t="s">
        <v>370</v>
      </c>
      <c r="D170" s="156"/>
      <c r="E170" s="11"/>
      <c r="F170" s="11"/>
      <c r="G170" s="11"/>
    </row>
    <row r="171" spans="1:7" ht="20.100000000000001" customHeight="1">
      <c r="A171" s="149" t="s">
        <v>480</v>
      </c>
      <c r="B171" s="150"/>
      <c r="C171" s="150"/>
      <c r="D171" s="150"/>
      <c r="E171" s="150"/>
      <c r="F171" s="150"/>
      <c r="G171" s="150"/>
    </row>
    <row r="172" spans="1:7" ht="15" customHeight="1">
      <c r="A172" s="151" t="s">
        <v>372</v>
      </c>
      <c r="B172" s="152"/>
      <c r="C172" s="12" t="s">
        <v>373</v>
      </c>
      <c r="D172" s="12" t="s">
        <v>374</v>
      </c>
      <c r="E172" s="12" t="s">
        <v>375</v>
      </c>
      <c r="F172" s="12" t="s">
        <v>376</v>
      </c>
      <c r="G172" s="12" t="s">
        <v>377</v>
      </c>
    </row>
    <row r="173" spans="1:7" ht="15" customHeight="1">
      <c r="A173" s="13" t="s">
        <v>481</v>
      </c>
      <c r="B173" s="14" t="s">
        <v>439</v>
      </c>
      <c r="C173" s="13" t="s">
        <v>482</v>
      </c>
      <c r="D173" s="13" t="s">
        <v>381</v>
      </c>
      <c r="E173" s="15">
        <v>2</v>
      </c>
      <c r="F173" s="16">
        <v>6.6</v>
      </c>
      <c r="G173" s="16">
        <v>13.2</v>
      </c>
    </row>
    <row r="174" spans="1:7" ht="15" customHeight="1">
      <c r="A174" s="13" t="s">
        <v>483</v>
      </c>
      <c r="B174" s="14" t="s">
        <v>484</v>
      </c>
      <c r="C174" s="13" t="s">
        <v>482</v>
      </c>
      <c r="D174" s="13" t="s">
        <v>381</v>
      </c>
      <c r="E174" s="15">
        <v>0.30599999999999999</v>
      </c>
      <c r="F174" s="16">
        <v>4.9000000000000004</v>
      </c>
      <c r="G174" s="16">
        <v>1.5</v>
      </c>
    </row>
    <row r="175" spans="1:7" ht="15" customHeight="1">
      <c r="A175" s="13" t="s">
        <v>485</v>
      </c>
      <c r="B175" s="14" t="s">
        <v>379</v>
      </c>
      <c r="C175" s="13" t="s">
        <v>482</v>
      </c>
      <c r="D175" s="13" t="s">
        <v>381</v>
      </c>
      <c r="E175" s="15">
        <v>12</v>
      </c>
      <c r="F175" s="16">
        <v>4.3499999999999996</v>
      </c>
      <c r="G175" s="16">
        <v>52.2</v>
      </c>
    </row>
    <row r="176" spans="1:7" ht="15" customHeight="1">
      <c r="A176" s="11"/>
      <c r="B176" s="11"/>
      <c r="C176" s="11"/>
      <c r="D176" s="11"/>
      <c r="E176" s="153" t="s">
        <v>382</v>
      </c>
      <c r="F176" s="154"/>
      <c r="G176" s="17">
        <v>66.900000000000006</v>
      </c>
    </row>
    <row r="177" spans="1:7" ht="15" customHeight="1">
      <c r="A177" s="151" t="s">
        <v>383</v>
      </c>
      <c r="B177" s="152"/>
      <c r="C177" s="12" t="s">
        <v>373</v>
      </c>
      <c r="D177" s="12" t="s">
        <v>374</v>
      </c>
      <c r="E177" s="12" t="s">
        <v>375</v>
      </c>
      <c r="F177" s="12" t="s">
        <v>376</v>
      </c>
      <c r="G177" s="12" t="s">
        <v>377</v>
      </c>
    </row>
    <row r="178" spans="1:7" ht="15" customHeight="1">
      <c r="A178" s="13" t="s">
        <v>486</v>
      </c>
      <c r="B178" s="14" t="s">
        <v>487</v>
      </c>
      <c r="C178" s="13" t="s">
        <v>482</v>
      </c>
      <c r="D178" s="13" t="s">
        <v>427</v>
      </c>
      <c r="E178" s="15">
        <v>0.67700000000000005</v>
      </c>
      <c r="F178" s="16">
        <v>53.6</v>
      </c>
      <c r="G178" s="16">
        <v>36.29</v>
      </c>
    </row>
    <row r="179" spans="1:7" ht="15" customHeight="1">
      <c r="A179" s="13" t="s">
        <v>488</v>
      </c>
      <c r="B179" s="14" t="s">
        <v>489</v>
      </c>
      <c r="C179" s="13" t="s">
        <v>482</v>
      </c>
      <c r="D179" s="13" t="s">
        <v>427</v>
      </c>
      <c r="E179" s="15">
        <v>0.26</v>
      </c>
      <c r="F179" s="16">
        <v>55</v>
      </c>
      <c r="G179" s="16">
        <v>14.3</v>
      </c>
    </row>
    <row r="180" spans="1:7" ht="15" customHeight="1">
      <c r="A180" s="13" t="s">
        <v>490</v>
      </c>
      <c r="B180" s="14" t="s">
        <v>491</v>
      </c>
      <c r="C180" s="13" t="s">
        <v>482</v>
      </c>
      <c r="D180" s="13" t="s">
        <v>421</v>
      </c>
      <c r="E180" s="15">
        <v>1E-4</v>
      </c>
      <c r="F180" s="16">
        <v>1</v>
      </c>
      <c r="G180" s="16">
        <v>0</v>
      </c>
    </row>
    <row r="181" spans="1:7" ht="15" customHeight="1">
      <c r="A181" s="11"/>
      <c r="B181" s="11"/>
      <c r="C181" s="11"/>
      <c r="D181" s="11"/>
      <c r="E181" s="153" t="s">
        <v>396</v>
      </c>
      <c r="F181" s="154"/>
      <c r="G181" s="17">
        <v>50.59</v>
      </c>
    </row>
    <row r="182" spans="1:7" ht="15" customHeight="1">
      <c r="A182" s="11"/>
      <c r="B182" s="11"/>
      <c r="C182" s="11"/>
      <c r="D182" s="11"/>
      <c r="E182" s="147" t="s">
        <v>397</v>
      </c>
      <c r="F182" s="148"/>
      <c r="G182" s="18">
        <v>117.49</v>
      </c>
    </row>
    <row r="183" spans="1:7" ht="15" customHeight="1">
      <c r="A183" s="11"/>
      <c r="B183" s="11"/>
      <c r="C183" s="11"/>
      <c r="D183" s="11"/>
      <c r="E183" s="147" t="s">
        <v>492</v>
      </c>
      <c r="F183" s="148"/>
      <c r="G183" s="18">
        <v>79.069999999999993</v>
      </c>
    </row>
    <row r="184" spans="1:7" ht="15" customHeight="1">
      <c r="A184" s="11"/>
      <c r="B184" s="11"/>
      <c r="C184" s="11"/>
      <c r="D184" s="11"/>
      <c r="E184" s="147" t="s">
        <v>399</v>
      </c>
      <c r="F184" s="148"/>
      <c r="G184" s="18">
        <v>196.56</v>
      </c>
    </row>
    <row r="185" spans="1:7" ht="15" customHeight="1">
      <c r="A185" s="11"/>
      <c r="B185" s="11"/>
      <c r="C185" s="11"/>
      <c r="D185" s="11"/>
      <c r="E185" s="147" t="s">
        <v>400</v>
      </c>
      <c r="F185" s="148"/>
      <c r="G185" s="18">
        <v>47.724800000000002</v>
      </c>
    </row>
    <row r="186" spans="1:7" ht="15" customHeight="1">
      <c r="A186" s="11"/>
      <c r="B186" s="11"/>
      <c r="C186" s="11"/>
      <c r="D186" s="11"/>
      <c r="E186" s="147" t="s">
        <v>401</v>
      </c>
      <c r="F186" s="148"/>
      <c r="G186" s="18">
        <v>244.28</v>
      </c>
    </row>
    <row r="187" spans="1:7" ht="9.9499999999999993" customHeight="1">
      <c r="A187" s="11"/>
      <c r="B187" s="11"/>
      <c r="C187" s="155" t="s">
        <v>370</v>
      </c>
      <c r="D187" s="156"/>
      <c r="E187" s="11"/>
      <c r="F187" s="11"/>
      <c r="G187" s="11"/>
    </row>
    <row r="188" spans="1:7" ht="20.100000000000001" customHeight="1">
      <c r="A188" s="149" t="s">
        <v>493</v>
      </c>
      <c r="B188" s="150"/>
      <c r="C188" s="150"/>
      <c r="D188" s="150"/>
      <c r="E188" s="150"/>
      <c r="F188" s="150"/>
      <c r="G188" s="150"/>
    </row>
    <row r="189" spans="1:7" ht="15" customHeight="1">
      <c r="A189" s="151" t="s">
        <v>383</v>
      </c>
      <c r="B189" s="152"/>
      <c r="C189" s="12" t="s">
        <v>373</v>
      </c>
      <c r="D189" s="12" t="s">
        <v>374</v>
      </c>
      <c r="E189" s="12" t="s">
        <v>375</v>
      </c>
      <c r="F189" s="12" t="s">
        <v>376</v>
      </c>
      <c r="G189" s="12" t="s">
        <v>377</v>
      </c>
    </row>
    <row r="190" spans="1:7" ht="20.100000000000001" customHeight="1">
      <c r="A190" s="13" t="s">
        <v>494</v>
      </c>
      <c r="B190" s="14" t="s">
        <v>495</v>
      </c>
      <c r="C190" s="13" t="s">
        <v>405</v>
      </c>
      <c r="D190" s="13" t="s">
        <v>427</v>
      </c>
      <c r="E190" s="15">
        <v>0.73499999999999999</v>
      </c>
      <c r="F190" s="16">
        <v>53</v>
      </c>
      <c r="G190" s="16">
        <v>38.96</v>
      </c>
    </row>
    <row r="191" spans="1:7" ht="15" customHeight="1">
      <c r="A191" s="13" t="s">
        <v>496</v>
      </c>
      <c r="B191" s="14" t="s">
        <v>497</v>
      </c>
      <c r="C191" s="13" t="s">
        <v>405</v>
      </c>
      <c r="D191" s="13" t="s">
        <v>395</v>
      </c>
      <c r="E191" s="15">
        <v>388.88</v>
      </c>
      <c r="F191" s="16">
        <v>0.48</v>
      </c>
      <c r="G191" s="16">
        <v>186.66</v>
      </c>
    </row>
    <row r="192" spans="1:7" ht="20.100000000000001" customHeight="1">
      <c r="A192" s="13" t="s">
        <v>498</v>
      </c>
      <c r="B192" s="14" t="s">
        <v>499</v>
      </c>
      <c r="C192" s="13" t="s">
        <v>405</v>
      </c>
      <c r="D192" s="13" t="s">
        <v>427</v>
      </c>
      <c r="E192" s="15">
        <v>0.58899999999999997</v>
      </c>
      <c r="F192" s="16">
        <v>55.34</v>
      </c>
      <c r="G192" s="16">
        <v>32.6</v>
      </c>
    </row>
    <row r="193" spans="1:7" ht="15" customHeight="1">
      <c r="A193" s="11"/>
      <c r="B193" s="11"/>
      <c r="C193" s="11"/>
      <c r="D193" s="11"/>
      <c r="E193" s="153" t="s">
        <v>396</v>
      </c>
      <c r="F193" s="154"/>
      <c r="G193" s="17">
        <v>258.22000000000003</v>
      </c>
    </row>
    <row r="194" spans="1:7" ht="15" customHeight="1">
      <c r="A194" s="151" t="s">
        <v>414</v>
      </c>
      <c r="B194" s="152"/>
      <c r="C194" s="12" t="s">
        <v>373</v>
      </c>
      <c r="D194" s="12" t="s">
        <v>374</v>
      </c>
      <c r="E194" s="12" t="s">
        <v>375</v>
      </c>
      <c r="F194" s="12" t="s">
        <v>376</v>
      </c>
      <c r="G194" s="12" t="s">
        <v>377</v>
      </c>
    </row>
    <row r="195" spans="1:7" ht="15" customHeight="1">
      <c r="A195" s="13" t="s">
        <v>435</v>
      </c>
      <c r="B195" s="14" t="s">
        <v>436</v>
      </c>
      <c r="C195" s="13" t="s">
        <v>405</v>
      </c>
      <c r="D195" s="13" t="s">
        <v>381</v>
      </c>
      <c r="E195" s="15">
        <v>2.2999999999999998</v>
      </c>
      <c r="F195" s="16">
        <v>9.6300000000000008</v>
      </c>
      <c r="G195" s="16">
        <v>22.15</v>
      </c>
    </row>
    <row r="196" spans="1:7" ht="20.100000000000001" customHeight="1">
      <c r="A196" s="13" t="s">
        <v>500</v>
      </c>
      <c r="B196" s="14" t="s">
        <v>501</v>
      </c>
      <c r="C196" s="13" t="s">
        <v>405</v>
      </c>
      <c r="D196" s="13" t="s">
        <v>381</v>
      </c>
      <c r="E196" s="15">
        <v>1.45</v>
      </c>
      <c r="F196" s="16">
        <v>11.11</v>
      </c>
      <c r="G196" s="16">
        <v>16.11</v>
      </c>
    </row>
    <row r="197" spans="1:7" ht="27.95" customHeight="1">
      <c r="A197" s="13" t="s">
        <v>502</v>
      </c>
      <c r="B197" s="14" t="s">
        <v>503</v>
      </c>
      <c r="C197" s="13" t="s">
        <v>405</v>
      </c>
      <c r="D197" s="13" t="s">
        <v>421</v>
      </c>
      <c r="E197" s="15">
        <v>0.75</v>
      </c>
      <c r="F197" s="16">
        <v>1.35</v>
      </c>
      <c r="G197" s="16">
        <v>1.01</v>
      </c>
    </row>
    <row r="198" spans="1:7" ht="27.95" customHeight="1">
      <c r="A198" s="13" t="s">
        <v>504</v>
      </c>
      <c r="B198" s="14" t="s">
        <v>505</v>
      </c>
      <c r="C198" s="13" t="s">
        <v>405</v>
      </c>
      <c r="D198" s="13" t="s">
        <v>424</v>
      </c>
      <c r="E198" s="15">
        <v>0.7</v>
      </c>
      <c r="F198" s="16">
        <v>0.27</v>
      </c>
      <c r="G198" s="16">
        <v>0.19</v>
      </c>
    </row>
    <row r="199" spans="1:7" ht="15" customHeight="1">
      <c r="A199" s="11"/>
      <c r="B199" s="11"/>
      <c r="C199" s="11"/>
      <c r="D199" s="11"/>
      <c r="E199" s="153" t="s">
        <v>431</v>
      </c>
      <c r="F199" s="154"/>
      <c r="G199" s="17">
        <v>39.46</v>
      </c>
    </row>
    <row r="200" spans="1:7" ht="15" customHeight="1">
      <c r="A200" s="11"/>
      <c r="B200" s="11"/>
      <c r="C200" s="11"/>
      <c r="D200" s="11"/>
      <c r="E200" s="147" t="s">
        <v>397</v>
      </c>
      <c r="F200" s="148"/>
      <c r="G200" s="18">
        <v>297.68</v>
      </c>
    </row>
    <row r="201" spans="1:7" ht="15" customHeight="1">
      <c r="A201" s="11"/>
      <c r="B201" s="11"/>
      <c r="C201" s="11"/>
      <c r="D201" s="11"/>
      <c r="E201" s="147" t="s">
        <v>398</v>
      </c>
      <c r="F201" s="148"/>
      <c r="G201" s="18">
        <v>16.829999999999998</v>
      </c>
    </row>
    <row r="202" spans="1:7" ht="15" customHeight="1">
      <c r="A202" s="11"/>
      <c r="B202" s="11"/>
      <c r="C202" s="11"/>
      <c r="D202" s="11"/>
      <c r="E202" s="147" t="s">
        <v>399</v>
      </c>
      <c r="F202" s="148"/>
      <c r="G202" s="18">
        <v>314.51</v>
      </c>
    </row>
    <row r="203" spans="1:7" ht="15" customHeight="1">
      <c r="A203" s="11"/>
      <c r="B203" s="11"/>
      <c r="C203" s="11"/>
      <c r="D203" s="11"/>
      <c r="E203" s="147" t="s">
        <v>400</v>
      </c>
      <c r="F203" s="148"/>
      <c r="G203" s="18">
        <v>76.363</v>
      </c>
    </row>
    <row r="204" spans="1:7" ht="15" customHeight="1">
      <c r="A204" s="11"/>
      <c r="B204" s="11"/>
      <c r="C204" s="11"/>
      <c r="D204" s="11"/>
      <c r="E204" s="147" t="s">
        <v>401</v>
      </c>
      <c r="F204" s="148"/>
      <c r="G204" s="18">
        <v>390.87</v>
      </c>
    </row>
    <row r="205" spans="1:7" ht="9.9499999999999993" customHeight="1">
      <c r="A205" s="11"/>
      <c r="B205" s="11"/>
      <c r="C205" s="155" t="s">
        <v>370</v>
      </c>
      <c r="D205" s="156"/>
      <c r="E205" s="11"/>
      <c r="F205" s="11"/>
      <c r="G205" s="11"/>
    </row>
    <row r="206" spans="1:7" ht="20.100000000000001" customHeight="1">
      <c r="A206" s="149" t="s">
        <v>506</v>
      </c>
      <c r="B206" s="150"/>
      <c r="C206" s="150"/>
      <c r="D206" s="150"/>
      <c r="E206" s="150"/>
      <c r="F206" s="150"/>
      <c r="G206" s="150"/>
    </row>
    <row r="207" spans="1:7" ht="15" customHeight="1">
      <c r="A207" s="151" t="s">
        <v>383</v>
      </c>
      <c r="B207" s="152"/>
      <c r="C207" s="12" t="s">
        <v>373</v>
      </c>
      <c r="D207" s="12" t="s">
        <v>374</v>
      </c>
      <c r="E207" s="12" t="s">
        <v>375</v>
      </c>
      <c r="F207" s="12" t="s">
        <v>376</v>
      </c>
      <c r="G207" s="12" t="s">
        <v>377</v>
      </c>
    </row>
    <row r="208" spans="1:7" ht="15" customHeight="1">
      <c r="A208" s="13" t="s">
        <v>507</v>
      </c>
      <c r="B208" s="14" t="s">
        <v>508</v>
      </c>
      <c r="C208" s="13" t="s">
        <v>405</v>
      </c>
      <c r="D208" s="13" t="s">
        <v>395</v>
      </c>
      <c r="E208" s="15">
        <v>2.5000000000000001E-2</v>
      </c>
      <c r="F208" s="16">
        <v>11</v>
      </c>
      <c r="G208" s="16">
        <v>0.28000000000000003</v>
      </c>
    </row>
    <row r="209" spans="1:7" ht="27.95" customHeight="1">
      <c r="A209" s="13" t="s">
        <v>509</v>
      </c>
      <c r="B209" s="14" t="s">
        <v>510</v>
      </c>
      <c r="C209" s="13" t="s">
        <v>405</v>
      </c>
      <c r="D209" s="13" t="s">
        <v>430</v>
      </c>
      <c r="E209" s="15">
        <v>0.97</v>
      </c>
      <c r="F209" s="16">
        <v>0.14000000000000001</v>
      </c>
      <c r="G209" s="16">
        <v>0.14000000000000001</v>
      </c>
    </row>
    <row r="210" spans="1:7" ht="15" customHeight="1">
      <c r="A210" s="11"/>
      <c r="B210" s="11"/>
      <c r="C210" s="11"/>
      <c r="D210" s="11"/>
      <c r="E210" s="153" t="s">
        <v>396</v>
      </c>
      <c r="F210" s="154"/>
      <c r="G210" s="17">
        <v>0.42</v>
      </c>
    </row>
    <row r="211" spans="1:7" ht="15" customHeight="1">
      <c r="A211" s="151" t="s">
        <v>414</v>
      </c>
      <c r="B211" s="152"/>
      <c r="C211" s="12" t="s">
        <v>373</v>
      </c>
      <c r="D211" s="12" t="s">
        <v>374</v>
      </c>
      <c r="E211" s="12" t="s">
        <v>375</v>
      </c>
      <c r="F211" s="12" t="s">
        <v>376</v>
      </c>
      <c r="G211" s="12" t="s">
        <v>377</v>
      </c>
    </row>
    <row r="212" spans="1:7" ht="15" customHeight="1">
      <c r="A212" s="13" t="s">
        <v>511</v>
      </c>
      <c r="B212" s="14" t="s">
        <v>512</v>
      </c>
      <c r="C212" s="13" t="s">
        <v>405</v>
      </c>
      <c r="D212" s="13" t="s">
        <v>381</v>
      </c>
      <c r="E212" s="15">
        <v>2.8000000000000001E-2</v>
      </c>
      <c r="F212" s="16">
        <v>9.66</v>
      </c>
      <c r="G212" s="16">
        <v>0.27</v>
      </c>
    </row>
    <row r="213" spans="1:7" ht="15" customHeight="1">
      <c r="A213" s="13" t="s">
        <v>513</v>
      </c>
      <c r="B213" s="14" t="s">
        <v>514</v>
      </c>
      <c r="C213" s="13" t="s">
        <v>405</v>
      </c>
      <c r="D213" s="13" t="s">
        <v>381</v>
      </c>
      <c r="E213" s="15">
        <v>0.17130000000000001</v>
      </c>
      <c r="F213" s="16">
        <v>11.68</v>
      </c>
      <c r="G213" s="16">
        <v>2</v>
      </c>
    </row>
    <row r="214" spans="1:7" ht="27.95" customHeight="1">
      <c r="A214" s="13" t="s">
        <v>515</v>
      </c>
      <c r="B214" s="14" t="s">
        <v>516</v>
      </c>
      <c r="C214" s="13" t="s">
        <v>405</v>
      </c>
      <c r="D214" s="13" t="s">
        <v>395</v>
      </c>
      <c r="E214" s="15">
        <v>1</v>
      </c>
      <c r="F214" s="16">
        <v>5.79</v>
      </c>
      <c r="G214" s="16">
        <v>5.79</v>
      </c>
    </row>
    <row r="215" spans="1:7" ht="15" customHeight="1">
      <c r="A215" s="11"/>
      <c r="B215" s="11"/>
      <c r="C215" s="11"/>
      <c r="D215" s="11"/>
      <c r="E215" s="153" t="s">
        <v>431</v>
      </c>
      <c r="F215" s="154"/>
      <c r="G215" s="17">
        <v>8.06</v>
      </c>
    </row>
    <row r="216" spans="1:7" ht="15" customHeight="1">
      <c r="A216" s="11"/>
      <c r="B216" s="11"/>
      <c r="C216" s="11"/>
      <c r="D216" s="11"/>
      <c r="E216" s="147" t="s">
        <v>397</v>
      </c>
      <c r="F216" s="148"/>
      <c r="G216" s="18">
        <v>8.48</v>
      </c>
    </row>
    <row r="217" spans="1:7" ht="15" customHeight="1">
      <c r="A217" s="11"/>
      <c r="B217" s="11"/>
      <c r="C217" s="11"/>
      <c r="D217" s="11"/>
      <c r="E217" s="147" t="s">
        <v>398</v>
      </c>
      <c r="F217" s="148"/>
      <c r="G217" s="18">
        <v>1.27</v>
      </c>
    </row>
    <row r="218" spans="1:7" ht="15" customHeight="1">
      <c r="A218" s="11"/>
      <c r="B218" s="11"/>
      <c r="C218" s="11"/>
      <c r="D218" s="11"/>
      <c r="E218" s="147" t="s">
        <v>399</v>
      </c>
      <c r="F218" s="148"/>
      <c r="G218" s="18">
        <v>9.75</v>
      </c>
    </row>
    <row r="219" spans="1:7" ht="15" customHeight="1">
      <c r="A219" s="11"/>
      <c r="B219" s="11"/>
      <c r="C219" s="11"/>
      <c r="D219" s="11"/>
      <c r="E219" s="147" t="s">
        <v>400</v>
      </c>
      <c r="F219" s="148"/>
      <c r="G219" s="18">
        <v>2.3673000000000002</v>
      </c>
    </row>
    <row r="220" spans="1:7" ht="15" customHeight="1">
      <c r="A220" s="11"/>
      <c r="B220" s="11"/>
      <c r="C220" s="11"/>
      <c r="D220" s="11"/>
      <c r="E220" s="147" t="s">
        <v>401</v>
      </c>
      <c r="F220" s="148"/>
      <c r="G220" s="18">
        <v>12.12</v>
      </c>
    </row>
    <row r="221" spans="1:7" ht="9.9499999999999993" customHeight="1">
      <c r="A221" s="11"/>
      <c r="B221" s="11"/>
      <c r="C221" s="155" t="s">
        <v>370</v>
      </c>
      <c r="D221" s="156"/>
      <c r="E221" s="11"/>
      <c r="F221" s="11"/>
      <c r="G221" s="11"/>
    </row>
    <row r="222" spans="1:7" ht="20.100000000000001" customHeight="1">
      <c r="A222" s="149" t="s">
        <v>517</v>
      </c>
      <c r="B222" s="150"/>
      <c r="C222" s="150"/>
      <c r="D222" s="150"/>
      <c r="E222" s="150"/>
      <c r="F222" s="150"/>
      <c r="G222" s="150"/>
    </row>
    <row r="223" spans="1:7" ht="15" customHeight="1">
      <c r="A223" s="151" t="s">
        <v>383</v>
      </c>
      <c r="B223" s="152"/>
      <c r="C223" s="12" t="s">
        <v>373</v>
      </c>
      <c r="D223" s="12" t="s">
        <v>374</v>
      </c>
      <c r="E223" s="12" t="s">
        <v>375</v>
      </c>
      <c r="F223" s="12" t="s">
        <v>376</v>
      </c>
      <c r="G223" s="12" t="s">
        <v>377</v>
      </c>
    </row>
    <row r="224" spans="1:7" ht="15" customHeight="1">
      <c r="A224" s="13" t="s">
        <v>507</v>
      </c>
      <c r="B224" s="14" t="s">
        <v>508</v>
      </c>
      <c r="C224" s="13" t="s">
        <v>405</v>
      </c>
      <c r="D224" s="13" t="s">
        <v>395</v>
      </c>
      <c r="E224" s="15">
        <v>2.5000000000000001E-2</v>
      </c>
      <c r="F224" s="16">
        <v>11</v>
      </c>
      <c r="G224" s="16">
        <v>0.28000000000000003</v>
      </c>
    </row>
    <row r="225" spans="1:7" ht="27.95" customHeight="1">
      <c r="A225" s="13" t="s">
        <v>509</v>
      </c>
      <c r="B225" s="14" t="s">
        <v>510</v>
      </c>
      <c r="C225" s="13" t="s">
        <v>405</v>
      </c>
      <c r="D225" s="13" t="s">
        <v>430</v>
      </c>
      <c r="E225" s="15">
        <v>0.54300000000000004</v>
      </c>
      <c r="F225" s="16">
        <v>0.14000000000000001</v>
      </c>
      <c r="G225" s="16">
        <v>0.08</v>
      </c>
    </row>
    <row r="226" spans="1:7" ht="15" customHeight="1">
      <c r="A226" s="11"/>
      <c r="B226" s="11"/>
      <c r="C226" s="11"/>
      <c r="D226" s="11"/>
      <c r="E226" s="153" t="s">
        <v>396</v>
      </c>
      <c r="F226" s="154"/>
      <c r="G226" s="17">
        <v>0.36</v>
      </c>
    </row>
    <row r="227" spans="1:7" ht="15" customHeight="1">
      <c r="A227" s="151" t="s">
        <v>414</v>
      </c>
      <c r="B227" s="152"/>
      <c r="C227" s="12" t="s">
        <v>373</v>
      </c>
      <c r="D227" s="12" t="s">
        <v>374</v>
      </c>
      <c r="E227" s="12" t="s">
        <v>375</v>
      </c>
      <c r="F227" s="12" t="s">
        <v>376</v>
      </c>
      <c r="G227" s="12" t="s">
        <v>377</v>
      </c>
    </row>
    <row r="228" spans="1:7" ht="15" customHeight="1">
      <c r="A228" s="13" t="s">
        <v>511</v>
      </c>
      <c r="B228" s="14" t="s">
        <v>512</v>
      </c>
      <c r="C228" s="13" t="s">
        <v>405</v>
      </c>
      <c r="D228" s="13" t="s">
        <v>381</v>
      </c>
      <c r="E228" s="15">
        <v>1.5599999999999999E-2</v>
      </c>
      <c r="F228" s="16">
        <v>9.66</v>
      </c>
      <c r="G228" s="16">
        <v>0.15</v>
      </c>
    </row>
    <row r="229" spans="1:7" ht="15" customHeight="1">
      <c r="A229" s="13" t="s">
        <v>513</v>
      </c>
      <c r="B229" s="14" t="s">
        <v>514</v>
      </c>
      <c r="C229" s="13" t="s">
        <v>405</v>
      </c>
      <c r="D229" s="13" t="s">
        <v>381</v>
      </c>
      <c r="E229" s="15">
        <v>9.5600000000000004E-2</v>
      </c>
      <c r="F229" s="16">
        <v>11.68</v>
      </c>
      <c r="G229" s="16">
        <v>1.1200000000000001</v>
      </c>
    </row>
    <row r="230" spans="1:7" ht="27.95" customHeight="1">
      <c r="A230" s="13" t="s">
        <v>518</v>
      </c>
      <c r="B230" s="14" t="s">
        <v>519</v>
      </c>
      <c r="C230" s="13" t="s">
        <v>405</v>
      </c>
      <c r="D230" s="13" t="s">
        <v>395</v>
      </c>
      <c r="E230" s="15">
        <v>1</v>
      </c>
      <c r="F230" s="16">
        <v>5.36</v>
      </c>
      <c r="G230" s="16">
        <v>5.36</v>
      </c>
    </row>
    <row r="231" spans="1:7" ht="15" customHeight="1">
      <c r="A231" s="11"/>
      <c r="B231" s="11"/>
      <c r="C231" s="11"/>
      <c r="D231" s="11"/>
      <c r="E231" s="153" t="s">
        <v>431</v>
      </c>
      <c r="F231" s="154"/>
      <c r="G231" s="17">
        <v>6.63</v>
      </c>
    </row>
    <row r="232" spans="1:7" ht="15" customHeight="1">
      <c r="A232" s="11"/>
      <c r="B232" s="11"/>
      <c r="C232" s="11"/>
      <c r="D232" s="11"/>
      <c r="E232" s="147" t="s">
        <v>397</v>
      </c>
      <c r="F232" s="148"/>
      <c r="G232" s="18">
        <v>6.99</v>
      </c>
    </row>
    <row r="233" spans="1:7" ht="15" customHeight="1">
      <c r="A233" s="11"/>
      <c r="B233" s="11"/>
      <c r="C233" s="11"/>
      <c r="D233" s="11"/>
      <c r="E233" s="147" t="s">
        <v>398</v>
      </c>
      <c r="F233" s="148"/>
      <c r="G233" s="18">
        <v>0.63</v>
      </c>
    </row>
    <row r="234" spans="1:7" ht="15" customHeight="1">
      <c r="A234" s="11"/>
      <c r="B234" s="11"/>
      <c r="C234" s="11"/>
      <c r="D234" s="11"/>
      <c r="E234" s="147" t="s">
        <v>399</v>
      </c>
      <c r="F234" s="148"/>
      <c r="G234" s="18">
        <v>7.62</v>
      </c>
    </row>
    <row r="235" spans="1:7" ht="15" customHeight="1">
      <c r="A235" s="11"/>
      <c r="B235" s="11"/>
      <c r="C235" s="11"/>
      <c r="D235" s="11"/>
      <c r="E235" s="147" t="s">
        <v>400</v>
      </c>
      <c r="F235" s="148"/>
      <c r="G235" s="18">
        <v>1.8501000000000001</v>
      </c>
    </row>
    <row r="236" spans="1:7" ht="15" customHeight="1">
      <c r="A236" s="11"/>
      <c r="B236" s="11"/>
      <c r="C236" s="11"/>
      <c r="D236" s="11"/>
      <c r="E236" s="147" t="s">
        <v>401</v>
      </c>
      <c r="F236" s="148"/>
      <c r="G236" s="18">
        <v>9.4700000000000006</v>
      </c>
    </row>
    <row r="237" spans="1:7" ht="9.9499999999999993" customHeight="1">
      <c r="A237" s="11"/>
      <c r="B237" s="11"/>
      <c r="C237" s="155" t="s">
        <v>370</v>
      </c>
      <c r="D237" s="156"/>
      <c r="E237" s="11"/>
      <c r="F237" s="11"/>
      <c r="G237" s="11"/>
    </row>
    <row r="238" spans="1:7" ht="20.100000000000001" customHeight="1">
      <c r="A238" s="149" t="s">
        <v>520</v>
      </c>
      <c r="B238" s="150"/>
      <c r="C238" s="150"/>
      <c r="D238" s="150"/>
      <c r="E238" s="150"/>
      <c r="F238" s="150"/>
      <c r="G238" s="150"/>
    </row>
    <row r="239" spans="1:7" ht="15" customHeight="1">
      <c r="A239" s="151" t="s">
        <v>372</v>
      </c>
      <c r="B239" s="152"/>
      <c r="C239" s="12" t="s">
        <v>373</v>
      </c>
      <c r="D239" s="12" t="s">
        <v>374</v>
      </c>
      <c r="E239" s="12" t="s">
        <v>375</v>
      </c>
      <c r="F239" s="12" t="s">
        <v>376</v>
      </c>
      <c r="G239" s="12" t="s">
        <v>377</v>
      </c>
    </row>
    <row r="240" spans="1:7" ht="15" customHeight="1">
      <c r="A240" s="13" t="s">
        <v>438</v>
      </c>
      <c r="B240" s="14" t="s">
        <v>439</v>
      </c>
      <c r="C240" s="13" t="s">
        <v>380</v>
      </c>
      <c r="D240" s="13" t="s">
        <v>381</v>
      </c>
      <c r="E240" s="15">
        <v>0.35</v>
      </c>
      <c r="F240" s="16">
        <v>9.6273999999999997</v>
      </c>
      <c r="G240" s="16">
        <v>3.37</v>
      </c>
    </row>
    <row r="241" spans="1:7" ht="15" customHeight="1">
      <c r="A241" s="13" t="s">
        <v>378</v>
      </c>
      <c r="B241" s="14" t="s">
        <v>379</v>
      </c>
      <c r="C241" s="13" t="s">
        <v>380</v>
      </c>
      <c r="D241" s="13" t="s">
        <v>381</v>
      </c>
      <c r="E241" s="15">
        <v>0.35</v>
      </c>
      <c r="F241" s="16">
        <v>7.1327999999999996</v>
      </c>
      <c r="G241" s="16">
        <v>2.5</v>
      </c>
    </row>
    <row r="242" spans="1:7" ht="15" customHeight="1">
      <c r="A242" s="11"/>
      <c r="B242" s="11"/>
      <c r="C242" s="11"/>
      <c r="D242" s="11"/>
      <c r="E242" s="153" t="s">
        <v>382</v>
      </c>
      <c r="F242" s="154"/>
      <c r="G242" s="17">
        <v>5.87</v>
      </c>
    </row>
    <row r="243" spans="1:7" ht="15" customHeight="1">
      <c r="A243" s="151" t="s">
        <v>383</v>
      </c>
      <c r="B243" s="152"/>
      <c r="C243" s="12" t="s">
        <v>373</v>
      </c>
      <c r="D243" s="12" t="s">
        <v>374</v>
      </c>
      <c r="E243" s="12" t="s">
        <v>375</v>
      </c>
      <c r="F243" s="12" t="s">
        <v>376</v>
      </c>
      <c r="G243" s="12" t="s">
        <v>377</v>
      </c>
    </row>
    <row r="244" spans="1:7" ht="15" customHeight="1">
      <c r="A244" s="13" t="s">
        <v>521</v>
      </c>
      <c r="B244" s="14" t="s">
        <v>522</v>
      </c>
      <c r="C244" s="13" t="s">
        <v>380</v>
      </c>
      <c r="D244" s="13" t="s">
        <v>395</v>
      </c>
      <c r="E244" s="15">
        <v>0.74</v>
      </c>
      <c r="F244" s="16">
        <v>4.6399999999999997</v>
      </c>
      <c r="G244" s="16">
        <v>3.43</v>
      </c>
    </row>
    <row r="245" spans="1:7" ht="15" customHeight="1">
      <c r="A245" s="13" t="s">
        <v>390</v>
      </c>
      <c r="B245" s="14" t="s">
        <v>391</v>
      </c>
      <c r="C245" s="13" t="s">
        <v>380</v>
      </c>
      <c r="D245" s="13" t="s">
        <v>392</v>
      </c>
      <c r="E245" s="15">
        <v>1.3</v>
      </c>
      <c r="F245" s="16">
        <v>16.440000000000001</v>
      </c>
      <c r="G245" s="16">
        <v>21.37</v>
      </c>
    </row>
    <row r="246" spans="1:7" ht="15" customHeight="1">
      <c r="A246" s="13" t="s">
        <v>467</v>
      </c>
      <c r="B246" s="14" t="s">
        <v>468</v>
      </c>
      <c r="C246" s="13" t="s">
        <v>380</v>
      </c>
      <c r="D246" s="13" t="s">
        <v>395</v>
      </c>
      <c r="E246" s="15">
        <v>0.03</v>
      </c>
      <c r="F246" s="16">
        <v>11.26</v>
      </c>
      <c r="G246" s="16">
        <v>0.34</v>
      </c>
    </row>
    <row r="247" spans="1:7" ht="15" customHeight="1">
      <c r="A247" s="13" t="s">
        <v>469</v>
      </c>
      <c r="B247" s="14" t="s">
        <v>470</v>
      </c>
      <c r="C247" s="13" t="s">
        <v>380</v>
      </c>
      <c r="D247" s="13" t="s">
        <v>392</v>
      </c>
      <c r="E247" s="15">
        <v>0.97</v>
      </c>
      <c r="F247" s="16">
        <v>4.74</v>
      </c>
      <c r="G247" s="16">
        <v>4.5999999999999996</v>
      </c>
    </row>
    <row r="248" spans="1:7" ht="15" customHeight="1">
      <c r="A248" s="13" t="s">
        <v>471</v>
      </c>
      <c r="B248" s="14" t="s">
        <v>472</v>
      </c>
      <c r="C248" s="13" t="s">
        <v>380</v>
      </c>
      <c r="D248" s="13" t="s">
        <v>392</v>
      </c>
      <c r="E248" s="15">
        <v>0.65</v>
      </c>
      <c r="F248" s="16">
        <v>8.07</v>
      </c>
      <c r="G248" s="16">
        <v>5.25</v>
      </c>
    </row>
    <row r="249" spans="1:7" ht="20.100000000000001" customHeight="1">
      <c r="A249" s="13" t="s">
        <v>523</v>
      </c>
      <c r="B249" s="14" t="s">
        <v>524</v>
      </c>
      <c r="C249" s="13" t="s">
        <v>380</v>
      </c>
      <c r="D249" s="13" t="s">
        <v>386</v>
      </c>
      <c r="E249" s="15">
        <v>1</v>
      </c>
      <c r="F249" s="16">
        <v>32</v>
      </c>
      <c r="G249" s="16">
        <v>32</v>
      </c>
    </row>
    <row r="250" spans="1:7" ht="15" customHeight="1">
      <c r="A250" s="11"/>
      <c r="B250" s="11"/>
      <c r="C250" s="11"/>
      <c r="D250" s="11"/>
      <c r="E250" s="153" t="s">
        <v>396</v>
      </c>
      <c r="F250" s="154"/>
      <c r="G250" s="17">
        <v>66.989999999999995</v>
      </c>
    </row>
    <row r="251" spans="1:7" ht="15" customHeight="1">
      <c r="A251" s="151" t="s">
        <v>414</v>
      </c>
      <c r="B251" s="152"/>
      <c r="C251" s="12" t="s">
        <v>373</v>
      </c>
      <c r="D251" s="12" t="s">
        <v>374</v>
      </c>
      <c r="E251" s="12" t="s">
        <v>375</v>
      </c>
      <c r="F251" s="12" t="s">
        <v>376</v>
      </c>
      <c r="G251" s="12" t="s">
        <v>377</v>
      </c>
    </row>
    <row r="252" spans="1:7" ht="15" customHeight="1">
      <c r="A252" s="13" t="s">
        <v>525</v>
      </c>
      <c r="B252" s="14" t="s">
        <v>526</v>
      </c>
      <c r="C252" s="13" t="s">
        <v>380</v>
      </c>
      <c r="D252" s="13" t="s">
        <v>427</v>
      </c>
      <c r="E252" s="15">
        <v>0.04</v>
      </c>
      <c r="F252" s="16">
        <v>290.3</v>
      </c>
      <c r="G252" s="16">
        <v>11.61</v>
      </c>
    </row>
    <row r="253" spans="1:7" ht="15" customHeight="1">
      <c r="A253" s="13" t="s">
        <v>527</v>
      </c>
      <c r="B253" s="14" t="s">
        <v>528</v>
      </c>
      <c r="C253" s="13" t="s">
        <v>380</v>
      </c>
      <c r="D253" s="13" t="s">
        <v>427</v>
      </c>
      <c r="E253" s="15">
        <v>0.04</v>
      </c>
      <c r="F253" s="16">
        <v>105.2</v>
      </c>
      <c r="G253" s="16">
        <v>4.21</v>
      </c>
    </row>
    <row r="254" spans="1:7" ht="15" customHeight="1">
      <c r="A254" s="11"/>
      <c r="B254" s="11"/>
      <c r="C254" s="11"/>
      <c r="D254" s="11"/>
      <c r="E254" s="153" t="s">
        <v>431</v>
      </c>
      <c r="F254" s="154"/>
      <c r="G254" s="17">
        <v>15.82</v>
      </c>
    </row>
    <row r="255" spans="1:7" ht="15" customHeight="1">
      <c r="A255" s="11"/>
      <c r="B255" s="11"/>
      <c r="C255" s="11"/>
      <c r="D255" s="11"/>
      <c r="E255" s="147" t="s">
        <v>397</v>
      </c>
      <c r="F255" s="148"/>
      <c r="G255" s="18">
        <v>88.68</v>
      </c>
    </row>
    <row r="256" spans="1:7" ht="15" customHeight="1">
      <c r="A256" s="11"/>
      <c r="B256" s="11"/>
      <c r="C256" s="11"/>
      <c r="D256" s="11"/>
      <c r="E256" s="147" t="s">
        <v>398</v>
      </c>
      <c r="F256" s="148"/>
      <c r="G256" s="18">
        <v>10.25</v>
      </c>
    </row>
    <row r="257" spans="1:7" ht="15" customHeight="1">
      <c r="A257" s="11"/>
      <c r="B257" s="11"/>
      <c r="C257" s="11"/>
      <c r="D257" s="11"/>
      <c r="E257" s="147" t="s">
        <v>399</v>
      </c>
      <c r="F257" s="148"/>
      <c r="G257" s="18">
        <v>98.93</v>
      </c>
    </row>
    <row r="258" spans="1:7" ht="15" customHeight="1">
      <c r="A258" s="11"/>
      <c r="B258" s="11"/>
      <c r="C258" s="11"/>
      <c r="D258" s="11"/>
      <c r="E258" s="147" t="s">
        <v>400</v>
      </c>
      <c r="F258" s="148"/>
      <c r="G258" s="18">
        <v>24.020199999999999</v>
      </c>
    </row>
    <row r="259" spans="1:7" ht="15" customHeight="1">
      <c r="A259" s="11"/>
      <c r="B259" s="11"/>
      <c r="C259" s="11"/>
      <c r="D259" s="11"/>
      <c r="E259" s="147" t="s">
        <v>401</v>
      </c>
      <c r="F259" s="148"/>
      <c r="G259" s="18">
        <v>122.95</v>
      </c>
    </row>
    <row r="260" spans="1:7" ht="9.9499999999999993" customHeight="1">
      <c r="A260" s="11"/>
      <c r="B260" s="11"/>
      <c r="C260" s="155" t="s">
        <v>370</v>
      </c>
      <c r="D260" s="156"/>
      <c r="E260" s="11"/>
      <c r="F260" s="11"/>
      <c r="G260" s="11"/>
    </row>
    <row r="261" spans="1:7" ht="20.100000000000001" customHeight="1">
      <c r="A261" s="149" t="s">
        <v>529</v>
      </c>
      <c r="B261" s="150"/>
      <c r="C261" s="150"/>
      <c r="D261" s="150"/>
      <c r="E261" s="150"/>
      <c r="F261" s="150"/>
      <c r="G261" s="150"/>
    </row>
    <row r="262" spans="1:7" ht="15" customHeight="1">
      <c r="A262" s="151" t="s">
        <v>383</v>
      </c>
      <c r="B262" s="152"/>
      <c r="C262" s="12" t="s">
        <v>373</v>
      </c>
      <c r="D262" s="12" t="s">
        <v>374</v>
      </c>
      <c r="E262" s="12" t="s">
        <v>375</v>
      </c>
      <c r="F262" s="12" t="s">
        <v>376</v>
      </c>
      <c r="G262" s="12" t="s">
        <v>377</v>
      </c>
    </row>
    <row r="263" spans="1:7" ht="20.100000000000001" customHeight="1">
      <c r="A263" s="13" t="s">
        <v>474</v>
      </c>
      <c r="B263" s="14" t="s">
        <v>475</v>
      </c>
      <c r="C263" s="13" t="s">
        <v>405</v>
      </c>
      <c r="D263" s="13" t="s">
        <v>389</v>
      </c>
      <c r="E263" s="15">
        <v>6.0000000000000001E-3</v>
      </c>
      <c r="F263" s="16">
        <v>5.64</v>
      </c>
      <c r="G263" s="16">
        <v>0.03</v>
      </c>
    </row>
    <row r="264" spans="1:7" ht="27.95" customHeight="1">
      <c r="A264" s="13" t="s">
        <v>509</v>
      </c>
      <c r="B264" s="14" t="s">
        <v>510</v>
      </c>
      <c r="C264" s="13" t="s">
        <v>405</v>
      </c>
      <c r="D264" s="13" t="s">
        <v>430</v>
      </c>
      <c r="E264" s="15">
        <v>6</v>
      </c>
      <c r="F264" s="16">
        <v>0.14000000000000001</v>
      </c>
      <c r="G264" s="16">
        <v>0.84</v>
      </c>
    </row>
    <row r="265" spans="1:7" ht="15" customHeight="1">
      <c r="A265" s="11"/>
      <c r="B265" s="11"/>
      <c r="C265" s="11"/>
      <c r="D265" s="11"/>
      <c r="E265" s="153" t="s">
        <v>396</v>
      </c>
      <c r="F265" s="154"/>
      <c r="G265" s="17">
        <v>0.87</v>
      </c>
    </row>
    <row r="266" spans="1:7" ht="15" customHeight="1">
      <c r="A266" s="151" t="s">
        <v>414</v>
      </c>
      <c r="B266" s="152"/>
      <c r="C266" s="12" t="s">
        <v>373</v>
      </c>
      <c r="D266" s="12" t="s">
        <v>374</v>
      </c>
      <c r="E266" s="12" t="s">
        <v>375</v>
      </c>
      <c r="F266" s="12" t="s">
        <v>376</v>
      </c>
      <c r="G266" s="12" t="s">
        <v>377</v>
      </c>
    </row>
    <row r="267" spans="1:7" ht="36" customHeight="1">
      <c r="A267" s="13" t="s">
        <v>530</v>
      </c>
      <c r="B267" s="14" t="s">
        <v>531</v>
      </c>
      <c r="C267" s="13" t="s">
        <v>405</v>
      </c>
      <c r="D267" s="13" t="s">
        <v>427</v>
      </c>
      <c r="E267" s="15">
        <v>1.9E-3</v>
      </c>
      <c r="F267" s="16">
        <v>327.14</v>
      </c>
      <c r="G267" s="16">
        <v>0.62</v>
      </c>
    </row>
    <row r="268" spans="1:7" ht="15" customHeight="1">
      <c r="A268" s="13" t="s">
        <v>433</v>
      </c>
      <c r="B268" s="14" t="s">
        <v>434</v>
      </c>
      <c r="C268" s="13" t="s">
        <v>405</v>
      </c>
      <c r="D268" s="13" t="s">
        <v>381</v>
      </c>
      <c r="E268" s="15">
        <v>8.4000000000000005E-2</v>
      </c>
      <c r="F268" s="16">
        <v>11.73</v>
      </c>
      <c r="G268" s="16">
        <v>0.99</v>
      </c>
    </row>
    <row r="269" spans="1:7" ht="15" customHeight="1">
      <c r="A269" s="13" t="s">
        <v>435</v>
      </c>
      <c r="B269" s="14" t="s">
        <v>436</v>
      </c>
      <c r="C269" s="13" t="s">
        <v>405</v>
      </c>
      <c r="D269" s="13" t="s">
        <v>381</v>
      </c>
      <c r="E269" s="15">
        <v>0.10199999999999999</v>
      </c>
      <c r="F269" s="16">
        <v>9.6300000000000008</v>
      </c>
      <c r="G269" s="16">
        <v>0.98</v>
      </c>
    </row>
    <row r="270" spans="1:7" ht="20.100000000000001" customHeight="1">
      <c r="A270" s="13" t="s">
        <v>532</v>
      </c>
      <c r="B270" s="14" t="s">
        <v>533</v>
      </c>
      <c r="C270" s="13" t="s">
        <v>405</v>
      </c>
      <c r="D270" s="13" t="s">
        <v>386</v>
      </c>
      <c r="E270" s="15">
        <v>0.17</v>
      </c>
      <c r="F270" s="16">
        <v>64.98</v>
      </c>
      <c r="G270" s="16">
        <v>11.05</v>
      </c>
    </row>
    <row r="271" spans="1:7" ht="27.95" customHeight="1">
      <c r="A271" s="13" t="s">
        <v>515</v>
      </c>
      <c r="B271" s="14" t="s">
        <v>516</v>
      </c>
      <c r="C271" s="13" t="s">
        <v>405</v>
      </c>
      <c r="D271" s="13" t="s">
        <v>395</v>
      </c>
      <c r="E271" s="15">
        <v>0.49</v>
      </c>
      <c r="F271" s="16">
        <v>5.79</v>
      </c>
      <c r="G271" s="16">
        <v>2.84</v>
      </c>
    </row>
    <row r="272" spans="1:7" ht="27.95" customHeight="1">
      <c r="A272" s="13" t="s">
        <v>534</v>
      </c>
      <c r="B272" s="14" t="s">
        <v>535</v>
      </c>
      <c r="C272" s="13" t="s">
        <v>405</v>
      </c>
      <c r="D272" s="13" t="s">
        <v>427</v>
      </c>
      <c r="E272" s="15">
        <v>1.7999999999999999E-2</v>
      </c>
      <c r="F272" s="16">
        <v>267.52999999999997</v>
      </c>
      <c r="G272" s="16">
        <v>4.82</v>
      </c>
    </row>
    <row r="273" spans="1:7" ht="15" customHeight="1">
      <c r="A273" s="11"/>
      <c r="B273" s="11"/>
      <c r="C273" s="11"/>
      <c r="D273" s="11"/>
      <c r="E273" s="153" t="s">
        <v>431</v>
      </c>
      <c r="F273" s="154"/>
      <c r="G273" s="17">
        <v>21.3</v>
      </c>
    </row>
    <row r="274" spans="1:7" ht="15" customHeight="1">
      <c r="A274" s="11"/>
      <c r="B274" s="11"/>
      <c r="C274" s="11"/>
      <c r="D274" s="11"/>
      <c r="E274" s="147" t="s">
        <v>397</v>
      </c>
      <c r="F274" s="148"/>
      <c r="G274" s="18">
        <v>22.17</v>
      </c>
    </row>
    <row r="275" spans="1:7" ht="15" customHeight="1">
      <c r="A275" s="11"/>
      <c r="B275" s="11"/>
      <c r="C275" s="11"/>
      <c r="D275" s="11"/>
      <c r="E275" s="147" t="s">
        <v>398</v>
      </c>
      <c r="F275" s="148"/>
      <c r="G275" s="18">
        <v>1.83</v>
      </c>
    </row>
    <row r="276" spans="1:7" ht="15" customHeight="1">
      <c r="A276" s="11"/>
      <c r="B276" s="11"/>
      <c r="C276" s="11"/>
      <c r="D276" s="11"/>
      <c r="E276" s="147" t="s">
        <v>399</v>
      </c>
      <c r="F276" s="148"/>
      <c r="G276" s="18">
        <v>24</v>
      </c>
    </row>
    <row r="277" spans="1:7" ht="15" customHeight="1">
      <c r="A277" s="11"/>
      <c r="B277" s="11"/>
      <c r="C277" s="11"/>
      <c r="D277" s="11"/>
      <c r="E277" s="147" t="s">
        <v>400</v>
      </c>
      <c r="F277" s="148"/>
      <c r="G277" s="18">
        <v>5.8272000000000004</v>
      </c>
    </row>
    <row r="278" spans="1:7" ht="15" customHeight="1">
      <c r="A278" s="11"/>
      <c r="B278" s="11"/>
      <c r="C278" s="11"/>
      <c r="D278" s="11"/>
      <c r="E278" s="147" t="s">
        <v>401</v>
      </c>
      <c r="F278" s="148"/>
      <c r="G278" s="18">
        <v>29.83</v>
      </c>
    </row>
    <row r="279" spans="1:7" ht="9.9499999999999993" customHeight="1">
      <c r="A279" s="11"/>
      <c r="B279" s="11"/>
      <c r="C279" s="155" t="s">
        <v>370</v>
      </c>
      <c r="D279" s="156"/>
      <c r="E279" s="11"/>
      <c r="F279" s="11"/>
      <c r="G279" s="11"/>
    </row>
    <row r="280" spans="1:7" ht="20.100000000000001" customHeight="1">
      <c r="A280" s="149" t="s">
        <v>536</v>
      </c>
      <c r="B280" s="150"/>
      <c r="C280" s="150"/>
      <c r="D280" s="150"/>
      <c r="E280" s="150"/>
      <c r="F280" s="150"/>
      <c r="G280" s="150"/>
    </row>
    <row r="281" spans="1:7" ht="15" customHeight="1">
      <c r="A281" s="151" t="s">
        <v>383</v>
      </c>
      <c r="B281" s="152"/>
      <c r="C281" s="12" t="s">
        <v>373</v>
      </c>
      <c r="D281" s="12" t="s">
        <v>374</v>
      </c>
      <c r="E281" s="12" t="s">
        <v>375</v>
      </c>
      <c r="F281" s="12" t="s">
        <v>376</v>
      </c>
      <c r="G281" s="12" t="s">
        <v>377</v>
      </c>
    </row>
    <row r="282" spans="1:7" ht="20.100000000000001" customHeight="1">
      <c r="A282" s="13" t="s">
        <v>474</v>
      </c>
      <c r="B282" s="14" t="s">
        <v>475</v>
      </c>
      <c r="C282" s="13" t="s">
        <v>405</v>
      </c>
      <c r="D282" s="13" t="s">
        <v>389</v>
      </c>
      <c r="E282" s="15">
        <v>6.0000000000000001E-3</v>
      </c>
      <c r="F282" s="16">
        <v>5.64</v>
      </c>
      <c r="G282" s="16">
        <v>0.03</v>
      </c>
    </row>
    <row r="283" spans="1:7" ht="27.95" customHeight="1">
      <c r="A283" s="13" t="s">
        <v>509</v>
      </c>
      <c r="B283" s="14" t="s">
        <v>510</v>
      </c>
      <c r="C283" s="13" t="s">
        <v>405</v>
      </c>
      <c r="D283" s="13" t="s">
        <v>430</v>
      </c>
      <c r="E283" s="15">
        <v>6</v>
      </c>
      <c r="F283" s="16">
        <v>0.14000000000000001</v>
      </c>
      <c r="G283" s="16">
        <v>0.84</v>
      </c>
    </row>
    <row r="284" spans="1:7" ht="15" customHeight="1">
      <c r="A284" s="11"/>
      <c r="B284" s="11"/>
      <c r="C284" s="11"/>
      <c r="D284" s="11"/>
      <c r="E284" s="153" t="s">
        <v>396</v>
      </c>
      <c r="F284" s="154"/>
      <c r="G284" s="17">
        <v>0.87</v>
      </c>
    </row>
    <row r="285" spans="1:7" ht="15" customHeight="1">
      <c r="A285" s="151" t="s">
        <v>414</v>
      </c>
      <c r="B285" s="152"/>
      <c r="C285" s="12" t="s">
        <v>373</v>
      </c>
      <c r="D285" s="12" t="s">
        <v>374</v>
      </c>
      <c r="E285" s="12" t="s">
        <v>375</v>
      </c>
      <c r="F285" s="12" t="s">
        <v>376</v>
      </c>
      <c r="G285" s="12" t="s">
        <v>377</v>
      </c>
    </row>
    <row r="286" spans="1:7" ht="36" customHeight="1">
      <c r="A286" s="13" t="s">
        <v>530</v>
      </c>
      <c r="B286" s="14" t="s">
        <v>531</v>
      </c>
      <c r="C286" s="13" t="s">
        <v>405</v>
      </c>
      <c r="D286" s="13" t="s">
        <v>427</v>
      </c>
      <c r="E286" s="15">
        <v>1.9E-3</v>
      </c>
      <c r="F286" s="16">
        <v>327.14</v>
      </c>
      <c r="G286" s="16">
        <v>0.62</v>
      </c>
    </row>
    <row r="287" spans="1:7" ht="15" customHeight="1">
      <c r="A287" s="13" t="s">
        <v>433</v>
      </c>
      <c r="B287" s="14" t="s">
        <v>434</v>
      </c>
      <c r="C287" s="13" t="s">
        <v>405</v>
      </c>
      <c r="D287" s="13" t="s">
        <v>381</v>
      </c>
      <c r="E287" s="15">
        <v>8.4000000000000005E-2</v>
      </c>
      <c r="F287" s="16">
        <v>11.73</v>
      </c>
      <c r="G287" s="16">
        <v>0.99</v>
      </c>
    </row>
    <row r="288" spans="1:7" ht="15" customHeight="1">
      <c r="A288" s="13" t="s">
        <v>435</v>
      </c>
      <c r="B288" s="14" t="s">
        <v>436</v>
      </c>
      <c r="C288" s="13" t="s">
        <v>405</v>
      </c>
      <c r="D288" s="13" t="s">
        <v>381</v>
      </c>
      <c r="E288" s="15">
        <v>0.10199999999999999</v>
      </c>
      <c r="F288" s="16">
        <v>9.6300000000000008</v>
      </c>
      <c r="G288" s="16">
        <v>0.98</v>
      </c>
    </row>
    <row r="289" spans="1:7" ht="20.100000000000001" customHeight="1">
      <c r="A289" s="13" t="s">
        <v>532</v>
      </c>
      <c r="B289" s="14" t="s">
        <v>533</v>
      </c>
      <c r="C289" s="13" t="s">
        <v>405</v>
      </c>
      <c r="D289" s="13" t="s">
        <v>386</v>
      </c>
      <c r="E289" s="15">
        <v>0.16400000000000001</v>
      </c>
      <c r="F289" s="16">
        <v>64.98</v>
      </c>
      <c r="G289" s="16">
        <v>10.66</v>
      </c>
    </row>
    <row r="290" spans="1:7" ht="27.95" customHeight="1">
      <c r="A290" s="13" t="s">
        <v>515</v>
      </c>
      <c r="B290" s="14" t="s">
        <v>516</v>
      </c>
      <c r="C290" s="13" t="s">
        <v>405</v>
      </c>
      <c r="D290" s="13" t="s">
        <v>395</v>
      </c>
      <c r="E290" s="15">
        <v>0.49</v>
      </c>
      <c r="F290" s="16">
        <v>5.79</v>
      </c>
      <c r="G290" s="16">
        <v>2.84</v>
      </c>
    </row>
    <row r="291" spans="1:7" ht="27.95" customHeight="1">
      <c r="A291" s="13" t="s">
        <v>534</v>
      </c>
      <c r="B291" s="14" t="s">
        <v>535</v>
      </c>
      <c r="C291" s="13" t="s">
        <v>405</v>
      </c>
      <c r="D291" s="13" t="s">
        <v>427</v>
      </c>
      <c r="E291" s="15">
        <v>1.7999999999999999E-2</v>
      </c>
      <c r="F291" s="16">
        <v>267.52999999999997</v>
      </c>
      <c r="G291" s="16">
        <v>4.82</v>
      </c>
    </row>
    <row r="292" spans="1:7" ht="15" customHeight="1">
      <c r="A292" s="11"/>
      <c r="B292" s="11"/>
      <c r="C292" s="11"/>
      <c r="D292" s="11"/>
      <c r="E292" s="153" t="s">
        <v>431</v>
      </c>
      <c r="F292" s="154"/>
      <c r="G292" s="17">
        <v>20.91</v>
      </c>
    </row>
    <row r="293" spans="1:7" ht="15" customHeight="1">
      <c r="A293" s="11"/>
      <c r="B293" s="11"/>
      <c r="C293" s="11"/>
      <c r="D293" s="11"/>
      <c r="E293" s="147" t="s">
        <v>397</v>
      </c>
      <c r="F293" s="148"/>
      <c r="G293" s="18">
        <v>21.78</v>
      </c>
    </row>
    <row r="294" spans="1:7" ht="15" customHeight="1">
      <c r="A294" s="11"/>
      <c r="B294" s="11"/>
      <c r="C294" s="11"/>
      <c r="D294" s="11"/>
      <c r="E294" s="147" t="s">
        <v>398</v>
      </c>
      <c r="F294" s="148"/>
      <c r="G294" s="18">
        <v>1.81</v>
      </c>
    </row>
    <row r="295" spans="1:7" ht="15" customHeight="1">
      <c r="A295" s="11"/>
      <c r="B295" s="11"/>
      <c r="C295" s="11"/>
      <c r="D295" s="11"/>
      <c r="E295" s="147" t="s">
        <v>399</v>
      </c>
      <c r="F295" s="148"/>
      <c r="G295" s="18">
        <v>23.59</v>
      </c>
    </row>
    <row r="296" spans="1:7" ht="15" customHeight="1">
      <c r="A296" s="11"/>
      <c r="B296" s="11"/>
      <c r="C296" s="11"/>
      <c r="D296" s="11"/>
      <c r="E296" s="147" t="s">
        <v>400</v>
      </c>
      <c r="F296" s="148"/>
      <c r="G296" s="18">
        <v>5.7276999999999996</v>
      </c>
    </row>
    <row r="297" spans="1:7" ht="15" customHeight="1">
      <c r="A297" s="11"/>
      <c r="B297" s="11"/>
      <c r="C297" s="11"/>
      <c r="D297" s="11"/>
      <c r="E297" s="147" t="s">
        <v>401</v>
      </c>
      <c r="F297" s="148"/>
      <c r="G297" s="18">
        <v>29.32</v>
      </c>
    </row>
    <row r="298" spans="1:7" ht="9.9499999999999993" customHeight="1">
      <c r="A298" s="11"/>
      <c r="B298" s="11"/>
      <c r="C298" s="155" t="s">
        <v>370</v>
      </c>
      <c r="D298" s="156"/>
      <c r="E298" s="11"/>
      <c r="F298" s="11"/>
      <c r="G298" s="11"/>
    </row>
    <row r="299" spans="1:7" ht="20.100000000000001" customHeight="1">
      <c r="A299" s="149" t="s">
        <v>537</v>
      </c>
      <c r="B299" s="150"/>
      <c r="C299" s="150"/>
      <c r="D299" s="150"/>
      <c r="E299" s="150"/>
      <c r="F299" s="150"/>
      <c r="G299" s="150"/>
    </row>
    <row r="300" spans="1:7" ht="15" customHeight="1">
      <c r="A300" s="151" t="s">
        <v>383</v>
      </c>
      <c r="B300" s="152"/>
      <c r="C300" s="12" t="s">
        <v>373</v>
      </c>
      <c r="D300" s="12" t="s">
        <v>374</v>
      </c>
      <c r="E300" s="12" t="s">
        <v>375</v>
      </c>
      <c r="F300" s="12" t="s">
        <v>376</v>
      </c>
      <c r="G300" s="12" t="s">
        <v>377</v>
      </c>
    </row>
    <row r="301" spans="1:7" ht="20.100000000000001" customHeight="1">
      <c r="A301" s="13" t="s">
        <v>474</v>
      </c>
      <c r="B301" s="14" t="s">
        <v>475</v>
      </c>
      <c r="C301" s="13" t="s">
        <v>405</v>
      </c>
      <c r="D301" s="13" t="s">
        <v>389</v>
      </c>
      <c r="E301" s="15">
        <v>7.0000000000000001E-3</v>
      </c>
      <c r="F301" s="16">
        <v>5.64</v>
      </c>
      <c r="G301" s="16">
        <v>0.04</v>
      </c>
    </row>
    <row r="302" spans="1:7" ht="27.95" customHeight="1">
      <c r="A302" s="13" t="s">
        <v>509</v>
      </c>
      <c r="B302" s="14" t="s">
        <v>510</v>
      </c>
      <c r="C302" s="13" t="s">
        <v>405</v>
      </c>
      <c r="D302" s="13" t="s">
        <v>430</v>
      </c>
      <c r="E302" s="15">
        <v>6</v>
      </c>
      <c r="F302" s="16">
        <v>0.14000000000000001</v>
      </c>
      <c r="G302" s="16">
        <v>0.84</v>
      </c>
    </row>
    <row r="303" spans="1:7" ht="15" customHeight="1">
      <c r="A303" s="11"/>
      <c r="B303" s="11"/>
      <c r="C303" s="11"/>
      <c r="D303" s="11"/>
      <c r="E303" s="153" t="s">
        <v>396</v>
      </c>
      <c r="F303" s="154"/>
      <c r="G303" s="17">
        <v>0.88</v>
      </c>
    </row>
    <row r="304" spans="1:7" ht="15" customHeight="1">
      <c r="A304" s="151" t="s">
        <v>414</v>
      </c>
      <c r="B304" s="152"/>
      <c r="C304" s="12" t="s">
        <v>373</v>
      </c>
      <c r="D304" s="12" t="s">
        <v>374</v>
      </c>
      <c r="E304" s="12" t="s">
        <v>375</v>
      </c>
      <c r="F304" s="12" t="s">
        <v>376</v>
      </c>
      <c r="G304" s="12" t="s">
        <v>377</v>
      </c>
    </row>
    <row r="305" spans="1:7" ht="36" customHeight="1">
      <c r="A305" s="13" t="s">
        <v>530</v>
      </c>
      <c r="B305" s="14" t="s">
        <v>531</v>
      </c>
      <c r="C305" s="13" t="s">
        <v>405</v>
      </c>
      <c r="D305" s="13" t="s">
        <v>427</v>
      </c>
      <c r="E305" s="15">
        <v>1.9E-3</v>
      </c>
      <c r="F305" s="16">
        <v>327.14</v>
      </c>
      <c r="G305" s="16">
        <v>0.62</v>
      </c>
    </row>
    <row r="306" spans="1:7" ht="15" customHeight="1">
      <c r="A306" s="13" t="s">
        <v>433</v>
      </c>
      <c r="B306" s="14" t="s">
        <v>434</v>
      </c>
      <c r="C306" s="13" t="s">
        <v>405</v>
      </c>
      <c r="D306" s="13" t="s">
        <v>381</v>
      </c>
      <c r="E306" s="15">
        <v>5.8000000000000003E-2</v>
      </c>
      <c r="F306" s="16">
        <v>11.73</v>
      </c>
      <c r="G306" s="16">
        <v>0.68</v>
      </c>
    </row>
    <row r="307" spans="1:7" ht="15" customHeight="1">
      <c r="A307" s="13" t="s">
        <v>435</v>
      </c>
      <c r="B307" s="14" t="s">
        <v>436</v>
      </c>
      <c r="C307" s="13" t="s">
        <v>405</v>
      </c>
      <c r="D307" s="13" t="s">
        <v>381</v>
      </c>
      <c r="E307" s="15">
        <v>8.5999999999999993E-2</v>
      </c>
      <c r="F307" s="16">
        <v>9.6300000000000008</v>
      </c>
      <c r="G307" s="16">
        <v>0.83</v>
      </c>
    </row>
    <row r="308" spans="1:7" ht="20.100000000000001" customHeight="1">
      <c r="A308" s="13" t="s">
        <v>532</v>
      </c>
      <c r="B308" s="14" t="s">
        <v>533</v>
      </c>
      <c r="C308" s="13" t="s">
        <v>405</v>
      </c>
      <c r="D308" s="13" t="s">
        <v>386</v>
      </c>
      <c r="E308" s="15">
        <v>0.214</v>
      </c>
      <c r="F308" s="16">
        <v>64.98</v>
      </c>
      <c r="G308" s="16">
        <v>13.91</v>
      </c>
    </row>
    <row r="309" spans="1:7" ht="27.95" customHeight="1">
      <c r="A309" s="13" t="s">
        <v>538</v>
      </c>
      <c r="B309" s="14" t="s">
        <v>539</v>
      </c>
      <c r="C309" s="13" t="s">
        <v>405</v>
      </c>
      <c r="D309" s="13" t="s">
        <v>395</v>
      </c>
      <c r="E309" s="15">
        <v>0.79</v>
      </c>
      <c r="F309" s="16">
        <v>6.4</v>
      </c>
      <c r="G309" s="16">
        <v>5.0599999999999996</v>
      </c>
    </row>
    <row r="310" spans="1:7" ht="27.95" customHeight="1">
      <c r="A310" s="13" t="s">
        <v>534</v>
      </c>
      <c r="B310" s="14" t="s">
        <v>535</v>
      </c>
      <c r="C310" s="13" t="s">
        <v>405</v>
      </c>
      <c r="D310" s="13" t="s">
        <v>427</v>
      </c>
      <c r="E310" s="15">
        <v>2.4E-2</v>
      </c>
      <c r="F310" s="16">
        <v>267.52999999999997</v>
      </c>
      <c r="G310" s="16">
        <v>6.42</v>
      </c>
    </row>
    <row r="311" spans="1:7" ht="15" customHeight="1">
      <c r="A311" s="11"/>
      <c r="B311" s="11"/>
      <c r="C311" s="11"/>
      <c r="D311" s="11"/>
      <c r="E311" s="153" t="s">
        <v>431</v>
      </c>
      <c r="F311" s="154"/>
      <c r="G311" s="17">
        <v>27.52</v>
      </c>
    </row>
    <row r="312" spans="1:7" ht="15" customHeight="1">
      <c r="A312" s="11"/>
      <c r="B312" s="11"/>
      <c r="C312" s="11"/>
      <c r="D312" s="11"/>
      <c r="E312" s="147" t="s">
        <v>397</v>
      </c>
      <c r="F312" s="148"/>
      <c r="G312" s="18">
        <v>28.4</v>
      </c>
    </row>
    <row r="313" spans="1:7" ht="15" customHeight="1">
      <c r="A313" s="11"/>
      <c r="B313" s="11"/>
      <c r="C313" s="11"/>
      <c r="D313" s="11"/>
      <c r="E313" s="147" t="s">
        <v>398</v>
      </c>
      <c r="F313" s="148"/>
      <c r="G313" s="18">
        <v>1.83</v>
      </c>
    </row>
    <row r="314" spans="1:7" ht="15" customHeight="1">
      <c r="A314" s="11"/>
      <c r="B314" s="11"/>
      <c r="C314" s="11"/>
      <c r="D314" s="11"/>
      <c r="E314" s="147" t="s">
        <v>399</v>
      </c>
      <c r="F314" s="148"/>
      <c r="G314" s="18">
        <v>30.23</v>
      </c>
    </row>
    <row r="315" spans="1:7" ht="15" customHeight="1">
      <c r="A315" s="11"/>
      <c r="B315" s="11"/>
      <c r="C315" s="11"/>
      <c r="D315" s="11"/>
      <c r="E315" s="147" t="s">
        <v>400</v>
      </c>
      <c r="F315" s="148"/>
      <c r="G315" s="18">
        <v>7.3398000000000003</v>
      </c>
    </row>
    <row r="316" spans="1:7" ht="15" customHeight="1">
      <c r="A316" s="11"/>
      <c r="B316" s="11"/>
      <c r="C316" s="11"/>
      <c r="D316" s="11"/>
      <c r="E316" s="147" t="s">
        <v>401</v>
      </c>
      <c r="F316" s="148"/>
      <c r="G316" s="18">
        <v>37.57</v>
      </c>
    </row>
    <row r="317" spans="1:7" ht="9.9499999999999993" customHeight="1">
      <c r="A317" s="11"/>
      <c r="B317" s="11"/>
      <c r="C317" s="155" t="s">
        <v>370</v>
      </c>
      <c r="D317" s="156"/>
      <c r="E317" s="11"/>
      <c r="F317" s="11"/>
      <c r="G317" s="11"/>
    </row>
    <row r="318" spans="1:7" ht="20.100000000000001" customHeight="1">
      <c r="A318" s="149" t="s">
        <v>540</v>
      </c>
      <c r="B318" s="150"/>
      <c r="C318" s="150"/>
      <c r="D318" s="150"/>
      <c r="E318" s="150"/>
      <c r="F318" s="150"/>
      <c r="G318" s="150"/>
    </row>
    <row r="319" spans="1:7" ht="15" customHeight="1">
      <c r="A319" s="151" t="s">
        <v>383</v>
      </c>
      <c r="B319" s="152"/>
      <c r="C319" s="12" t="s">
        <v>373</v>
      </c>
      <c r="D319" s="12" t="s">
        <v>374</v>
      </c>
      <c r="E319" s="12" t="s">
        <v>375</v>
      </c>
      <c r="F319" s="12" t="s">
        <v>376</v>
      </c>
      <c r="G319" s="12" t="s">
        <v>377</v>
      </c>
    </row>
    <row r="320" spans="1:7" ht="20.100000000000001" customHeight="1">
      <c r="A320" s="13" t="s">
        <v>474</v>
      </c>
      <c r="B320" s="14" t="s">
        <v>475</v>
      </c>
      <c r="C320" s="13" t="s">
        <v>405</v>
      </c>
      <c r="D320" s="13" t="s">
        <v>389</v>
      </c>
      <c r="E320" s="15">
        <v>6.0000000000000001E-3</v>
      </c>
      <c r="F320" s="16">
        <v>5.64</v>
      </c>
      <c r="G320" s="16">
        <v>0.03</v>
      </c>
    </row>
    <row r="321" spans="1:7" ht="27.95" customHeight="1">
      <c r="A321" s="13" t="s">
        <v>509</v>
      </c>
      <c r="B321" s="14" t="s">
        <v>510</v>
      </c>
      <c r="C321" s="13" t="s">
        <v>405</v>
      </c>
      <c r="D321" s="13" t="s">
        <v>430</v>
      </c>
      <c r="E321" s="15">
        <v>6</v>
      </c>
      <c r="F321" s="16">
        <v>0.14000000000000001</v>
      </c>
      <c r="G321" s="16">
        <v>0.84</v>
      </c>
    </row>
    <row r="322" spans="1:7" ht="15" customHeight="1">
      <c r="A322" s="11"/>
      <c r="B322" s="11"/>
      <c r="C322" s="11"/>
      <c r="D322" s="11"/>
      <c r="E322" s="153" t="s">
        <v>396</v>
      </c>
      <c r="F322" s="154"/>
      <c r="G322" s="17">
        <v>0.87</v>
      </c>
    </row>
    <row r="323" spans="1:7" ht="15" customHeight="1">
      <c r="A323" s="151" t="s">
        <v>414</v>
      </c>
      <c r="B323" s="152"/>
      <c r="C323" s="12" t="s">
        <v>373</v>
      </c>
      <c r="D323" s="12" t="s">
        <v>374</v>
      </c>
      <c r="E323" s="12" t="s">
        <v>375</v>
      </c>
      <c r="F323" s="12" t="s">
        <v>376</v>
      </c>
      <c r="G323" s="12" t="s">
        <v>377</v>
      </c>
    </row>
    <row r="324" spans="1:7" ht="36" customHeight="1">
      <c r="A324" s="13" t="s">
        <v>530</v>
      </c>
      <c r="B324" s="14" t="s">
        <v>531</v>
      </c>
      <c r="C324" s="13" t="s">
        <v>405</v>
      </c>
      <c r="D324" s="13" t="s">
        <v>427</v>
      </c>
      <c r="E324" s="15">
        <v>1.9E-3</v>
      </c>
      <c r="F324" s="16">
        <v>327.14</v>
      </c>
      <c r="G324" s="16">
        <v>0.62</v>
      </c>
    </row>
    <row r="325" spans="1:7" ht="15" customHeight="1">
      <c r="A325" s="13" t="s">
        <v>433</v>
      </c>
      <c r="B325" s="14" t="s">
        <v>434</v>
      </c>
      <c r="C325" s="13" t="s">
        <v>405</v>
      </c>
      <c r="D325" s="13" t="s">
        <v>381</v>
      </c>
      <c r="E325" s="15">
        <v>8.4000000000000005E-2</v>
      </c>
      <c r="F325" s="16">
        <v>11.73</v>
      </c>
      <c r="G325" s="16">
        <v>0.99</v>
      </c>
    </row>
    <row r="326" spans="1:7" ht="15" customHeight="1">
      <c r="A326" s="13" t="s">
        <v>435</v>
      </c>
      <c r="B326" s="14" t="s">
        <v>436</v>
      </c>
      <c r="C326" s="13" t="s">
        <v>405</v>
      </c>
      <c r="D326" s="13" t="s">
        <v>381</v>
      </c>
      <c r="E326" s="15">
        <v>0.10199999999999999</v>
      </c>
      <c r="F326" s="16">
        <v>9.6300000000000008</v>
      </c>
      <c r="G326" s="16">
        <v>0.98</v>
      </c>
    </row>
    <row r="327" spans="1:7" ht="20.100000000000001" customHeight="1">
      <c r="A327" s="13" t="s">
        <v>532</v>
      </c>
      <c r="B327" s="14" t="s">
        <v>533</v>
      </c>
      <c r="C327" s="13" t="s">
        <v>405</v>
      </c>
      <c r="D327" s="13" t="s">
        <v>386</v>
      </c>
      <c r="E327" s="15">
        <v>0.17</v>
      </c>
      <c r="F327" s="16">
        <v>64.98</v>
      </c>
      <c r="G327" s="16">
        <v>11.05</v>
      </c>
    </row>
    <row r="328" spans="1:7" ht="27.95" customHeight="1">
      <c r="A328" s="13" t="s">
        <v>515</v>
      </c>
      <c r="B328" s="14" t="s">
        <v>516</v>
      </c>
      <c r="C328" s="13" t="s">
        <v>405</v>
      </c>
      <c r="D328" s="13" t="s">
        <v>395</v>
      </c>
      <c r="E328" s="15">
        <v>0.49</v>
      </c>
      <c r="F328" s="16">
        <v>5.79</v>
      </c>
      <c r="G328" s="16">
        <v>2.84</v>
      </c>
    </row>
    <row r="329" spans="1:7" ht="27.95" customHeight="1">
      <c r="A329" s="13" t="s">
        <v>534</v>
      </c>
      <c r="B329" s="14" t="s">
        <v>535</v>
      </c>
      <c r="C329" s="13" t="s">
        <v>405</v>
      </c>
      <c r="D329" s="13" t="s">
        <v>427</v>
      </c>
      <c r="E329" s="15">
        <v>1.7999999999999999E-2</v>
      </c>
      <c r="F329" s="16">
        <v>267.52999999999997</v>
      </c>
      <c r="G329" s="16">
        <v>4.82</v>
      </c>
    </row>
    <row r="330" spans="1:7" ht="15" customHeight="1">
      <c r="A330" s="11"/>
      <c r="B330" s="11"/>
      <c r="C330" s="11"/>
      <c r="D330" s="11"/>
      <c r="E330" s="153" t="s">
        <v>431</v>
      </c>
      <c r="F330" s="154"/>
      <c r="G330" s="17">
        <v>21.3</v>
      </c>
    </row>
    <row r="331" spans="1:7" ht="15" customHeight="1">
      <c r="A331" s="11"/>
      <c r="B331" s="11"/>
      <c r="C331" s="11"/>
      <c r="D331" s="11"/>
      <c r="E331" s="147" t="s">
        <v>397</v>
      </c>
      <c r="F331" s="148"/>
      <c r="G331" s="18">
        <v>22.17</v>
      </c>
    </row>
    <row r="332" spans="1:7" ht="15" customHeight="1">
      <c r="A332" s="11"/>
      <c r="B332" s="11"/>
      <c r="C332" s="11"/>
      <c r="D332" s="11"/>
      <c r="E332" s="147" t="s">
        <v>398</v>
      </c>
      <c r="F332" s="148"/>
      <c r="G332" s="18">
        <v>1.83</v>
      </c>
    </row>
    <row r="333" spans="1:7" ht="15" customHeight="1">
      <c r="A333" s="11"/>
      <c r="B333" s="11"/>
      <c r="C333" s="11"/>
      <c r="D333" s="11"/>
      <c r="E333" s="147" t="s">
        <v>399</v>
      </c>
      <c r="F333" s="148"/>
      <c r="G333" s="18">
        <v>24</v>
      </c>
    </row>
    <row r="334" spans="1:7" ht="15" customHeight="1">
      <c r="A334" s="11"/>
      <c r="B334" s="11"/>
      <c r="C334" s="11"/>
      <c r="D334" s="11"/>
      <c r="E334" s="147" t="s">
        <v>400</v>
      </c>
      <c r="F334" s="148"/>
      <c r="G334" s="18">
        <v>5.8272000000000004</v>
      </c>
    </row>
    <row r="335" spans="1:7" ht="15" customHeight="1">
      <c r="A335" s="11"/>
      <c r="B335" s="11"/>
      <c r="C335" s="11"/>
      <c r="D335" s="11"/>
      <c r="E335" s="147" t="s">
        <v>401</v>
      </c>
      <c r="F335" s="148"/>
      <c r="G335" s="18">
        <v>29.83</v>
      </c>
    </row>
    <row r="336" spans="1:7" ht="9.9499999999999993" customHeight="1">
      <c r="A336" s="11"/>
      <c r="B336" s="11"/>
      <c r="C336" s="155" t="s">
        <v>370</v>
      </c>
      <c r="D336" s="156"/>
      <c r="E336" s="11"/>
      <c r="F336" s="11"/>
      <c r="G336" s="11"/>
    </row>
    <row r="337" spans="1:7" ht="20.100000000000001" customHeight="1">
      <c r="A337" s="149" t="s">
        <v>541</v>
      </c>
      <c r="B337" s="150"/>
      <c r="C337" s="150"/>
      <c r="D337" s="150"/>
      <c r="E337" s="150"/>
      <c r="F337" s="150"/>
      <c r="G337" s="150"/>
    </row>
    <row r="338" spans="1:7" ht="15" customHeight="1">
      <c r="A338" s="151" t="s">
        <v>383</v>
      </c>
      <c r="B338" s="152"/>
      <c r="C338" s="12" t="s">
        <v>373</v>
      </c>
      <c r="D338" s="12" t="s">
        <v>374</v>
      </c>
      <c r="E338" s="12" t="s">
        <v>375</v>
      </c>
      <c r="F338" s="12" t="s">
        <v>376</v>
      </c>
      <c r="G338" s="12" t="s">
        <v>377</v>
      </c>
    </row>
    <row r="339" spans="1:7" ht="20.100000000000001" customHeight="1">
      <c r="A339" s="13" t="s">
        <v>542</v>
      </c>
      <c r="B339" s="14" t="s">
        <v>543</v>
      </c>
      <c r="C339" s="13" t="s">
        <v>405</v>
      </c>
      <c r="D339" s="13" t="s">
        <v>389</v>
      </c>
      <c r="E339" s="15">
        <v>0.4</v>
      </c>
      <c r="F339" s="16">
        <v>8.14</v>
      </c>
      <c r="G339" s="16">
        <v>3.26</v>
      </c>
    </row>
    <row r="340" spans="1:7" ht="15" customHeight="1">
      <c r="A340" s="11"/>
      <c r="B340" s="11"/>
      <c r="C340" s="11"/>
      <c r="D340" s="11"/>
      <c r="E340" s="153" t="s">
        <v>396</v>
      </c>
      <c r="F340" s="154"/>
      <c r="G340" s="17">
        <v>3.26</v>
      </c>
    </row>
    <row r="341" spans="1:7" ht="15" customHeight="1">
      <c r="A341" s="151" t="s">
        <v>414</v>
      </c>
      <c r="B341" s="152"/>
      <c r="C341" s="12" t="s">
        <v>373</v>
      </c>
      <c r="D341" s="12" t="s">
        <v>374</v>
      </c>
      <c r="E341" s="12" t="s">
        <v>375</v>
      </c>
      <c r="F341" s="12" t="s">
        <v>376</v>
      </c>
      <c r="G341" s="12" t="s">
        <v>377</v>
      </c>
    </row>
    <row r="342" spans="1:7" ht="15" customHeight="1">
      <c r="A342" s="13" t="s">
        <v>435</v>
      </c>
      <c r="B342" s="14" t="s">
        <v>436</v>
      </c>
      <c r="C342" s="13" t="s">
        <v>405</v>
      </c>
      <c r="D342" s="13" t="s">
        <v>381</v>
      </c>
      <c r="E342" s="15">
        <v>0.4</v>
      </c>
      <c r="F342" s="16">
        <v>9.6300000000000008</v>
      </c>
      <c r="G342" s="16">
        <v>3.85</v>
      </c>
    </row>
    <row r="343" spans="1:7" ht="15" customHeight="1">
      <c r="A343" s="11"/>
      <c r="B343" s="11"/>
      <c r="C343" s="11"/>
      <c r="D343" s="11"/>
      <c r="E343" s="153" t="s">
        <v>431</v>
      </c>
      <c r="F343" s="154"/>
      <c r="G343" s="17">
        <v>3.85</v>
      </c>
    </row>
    <row r="344" spans="1:7" ht="15" customHeight="1">
      <c r="A344" s="11"/>
      <c r="B344" s="11"/>
      <c r="C344" s="11"/>
      <c r="D344" s="11"/>
      <c r="E344" s="147" t="s">
        <v>397</v>
      </c>
      <c r="F344" s="148"/>
      <c r="G344" s="18">
        <v>7.11</v>
      </c>
    </row>
    <row r="345" spans="1:7" ht="15" customHeight="1">
      <c r="A345" s="11"/>
      <c r="B345" s="11"/>
      <c r="C345" s="11"/>
      <c r="D345" s="11"/>
      <c r="E345" s="147" t="s">
        <v>398</v>
      </c>
      <c r="F345" s="148"/>
      <c r="G345" s="18">
        <v>1.52</v>
      </c>
    </row>
    <row r="346" spans="1:7" ht="15" customHeight="1">
      <c r="A346" s="11"/>
      <c r="B346" s="11"/>
      <c r="C346" s="11"/>
      <c r="D346" s="11"/>
      <c r="E346" s="147" t="s">
        <v>399</v>
      </c>
      <c r="F346" s="148"/>
      <c r="G346" s="18">
        <v>8.6300000000000008</v>
      </c>
    </row>
    <row r="347" spans="1:7" ht="15" customHeight="1">
      <c r="A347" s="11"/>
      <c r="B347" s="11"/>
      <c r="C347" s="11"/>
      <c r="D347" s="11"/>
      <c r="E347" s="147" t="s">
        <v>400</v>
      </c>
      <c r="F347" s="148"/>
      <c r="G347" s="18">
        <v>2.0954000000000002</v>
      </c>
    </row>
    <row r="348" spans="1:7" ht="15" customHeight="1">
      <c r="A348" s="11"/>
      <c r="B348" s="11"/>
      <c r="C348" s="11"/>
      <c r="D348" s="11"/>
      <c r="E348" s="147" t="s">
        <v>401</v>
      </c>
      <c r="F348" s="148"/>
      <c r="G348" s="18">
        <v>10.73</v>
      </c>
    </row>
    <row r="349" spans="1:7" ht="9.9499999999999993" customHeight="1">
      <c r="A349" s="11"/>
      <c r="B349" s="11"/>
      <c r="C349" s="155" t="s">
        <v>370</v>
      </c>
      <c r="D349" s="156"/>
      <c r="E349" s="11"/>
      <c r="F349" s="11"/>
      <c r="G349" s="11"/>
    </row>
    <row r="350" spans="1:7" ht="20.100000000000001" customHeight="1">
      <c r="A350" s="149" t="s">
        <v>544</v>
      </c>
      <c r="B350" s="150"/>
      <c r="C350" s="150"/>
      <c r="D350" s="150"/>
      <c r="E350" s="150"/>
      <c r="F350" s="150"/>
      <c r="G350" s="150"/>
    </row>
    <row r="351" spans="1:7" ht="9.9499999999999993" customHeight="1">
      <c r="A351" s="158"/>
      <c r="B351" s="158"/>
      <c r="C351" s="158"/>
      <c r="D351" s="158"/>
      <c r="E351" s="158"/>
      <c r="F351" s="158"/>
      <c r="G351" s="158"/>
    </row>
    <row r="352" spans="1:7" ht="15" customHeight="1">
      <c r="A352" s="11"/>
      <c r="B352" s="11"/>
      <c r="C352" s="11"/>
      <c r="D352" s="11"/>
      <c r="E352" s="147" t="s">
        <v>397</v>
      </c>
      <c r="F352" s="148"/>
      <c r="G352" s="18">
        <v>45.71</v>
      </c>
    </row>
    <row r="353" spans="1:7" ht="15" customHeight="1">
      <c r="A353" s="11"/>
      <c r="B353" s="11"/>
      <c r="C353" s="11"/>
      <c r="D353" s="11"/>
      <c r="E353" s="147" t="s">
        <v>545</v>
      </c>
      <c r="F353" s="148"/>
      <c r="G353" s="18">
        <v>0</v>
      </c>
    </row>
    <row r="354" spans="1:7" ht="15" customHeight="1">
      <c r="A354" s="11"/>
      <c r="B354" s="11"/>
      <c r="C354" s="11"/>
      <c r="D354" s="11"/>
      <c r="E354" s="147" t="s">
        <v>399</v>
      </c>
      <c r="F354" s="148"/>
      <c r="G354" s="18">
        <v>45.71</v>
      </c>
    </row>
    <row r="355" spans="1:7" ht="15" customHeight="1">
      <c r="A355" s="11"/>
      <c r="B355" s="11"/>
      <c r="C355" s="11"/>
      <c r="D355" s="11"/>
      <c r="E355" s="147" t="s">
        <v>400</v>
      </c>
      <c r="F355" s="148"/>
      <c r="G355" s="18">
        <v>11.0984</v>
      </c>
    </row>
    <row r="356" spans="1:7" ht="15" customHeight="1">
      <c r="A356" s="11"/>
      <c r="B356" s="11"/>
      <c r="C356" s="11"/>
      <c r="D356" s="11"/>
      <c r="E356" s="147" t="s">
        <v>401</v>
      </c>
      <c r="F356" s="148"/>
      <c r="G356" s="18">
        <v>56.81</v>
      </c>
    </row>
    <row r="357" spans="1:7" ht="9.9499999999999993" customHeight="1">
      <c r="A357" s="11"/>
      <c r="B357" s="11"/>
      <c r="C357" s="155" t="s">
        <v>370</v>
      </c>
      <c r="D357" s="156"/>
      <c r="E357" s="11"/>
      <c r="F357" s="11"/>
      <c r="G357" s="11"/>
    </row>
    <row r="358" spans="1:7" ht="20.100000000000001" customHeight="1">
      <c r="A358" s="149" t="s">
        <v>546</v>
      </c>
      <c r="B358" s="150"/>
      <c r="C358" s="150"/>
      <c r="D358" s="150"/>
      <c r="E358" s="150"/>
      <c r="F358" s="150"/>
      <c r="G358" s="150"/>
    </row>
    <row r="359" spans="1:7" ht="9.9499999999999993" customHeight="1">
      <c r="A359" s="158"/>
      <c r="B359" s="158"/>
      <c r="C359" s="158"/>
      <c r="D359" s="158"/>
      <c r="E359" s="158"/>
      <c r="F359" s="158"/>
      <c r="G359" s="158"/>
    </row>
    <row r="360" spans="1:7" ht="15" customHeight="1">
      <c r="A360" s="11"/>
      <c r="B360" s="11"/>
      <c r="C360" s="11"/>
      <c r="D360" s="11"/>
      <c r="E360" s="147" t="s">
        <v>397</v>
      </c>
      <c r="F360" s="148"/>
      <c r="G360" s="18">
        <v>179.9</v>
      </c>
    </row>
    <row r="361" spans="1:7" ht="15" customHeight="1">
      <c r="A361" s="11"/>
      <c r="B361" s="11"/>
      <c r="C361" s="11"/>
      <c r="D361" s="11"/>
      <c r="E361" s="147" t="s">
        <v>545</v>
      </c>
      <c r="F361" s="148"/>
      <c r="G361" s="18">
        <v>0</v>
      </c>
    </row>
    <row r="362" spans="1:7" ht="15" customHeight="1">
      <c r="A362" s="11"/>
      <c r="B362" s="11"/>
      <c r="C362" s="11"/>
      <c r="D362" s="11"/>
      <c r="E362" s="147" t="s">
        <v>399</v>
      </c>
      <c r="F362" s="148"/>
      <c r="G362" s="18">
        <v>179.9</v>
      </c>
    </row>
    <row r="363" spans="1:7" ht="15" customHeight="1">
      <c r="A363" s="11"/>
      <c r="B363" s="11"/>
      <c r="C363" s="11"/>
      <c r="D363" s="11"/>
      <c r="E363" s="147" t="s">
        <v>400</v>
      </c>
      <c r="F363" s="148"/>
      <c r="G363" s="18">
        <v>43.679699999999997</v>
      </c>
    </row>
    <row r="364" spans="1:7" ht="15" customHeight="1">
      <c r="A364" s="11"/>
      <c r="B364" s="11"/>
      <c r="C364" s="11"/>
      <c r="D364" s="11"/>
      <c r="E364" s="147" t="s">
        <v>401</v>
      </c>
      <c r="F364" s="148"/>
      <c r="G364" s="18">
        <v>223.58</v>
      </c>
    </row>
    <row r="365" spans="1:7" ht="9.9499999999999993" customHeight="1">
      <c r="A365" s="11"/>
      <c r="B365" s="11"/>
      <c r="C365" s="155" t="s">
        <v>370</v>
      </c>
      <c r="D365" s="156"/>
      <c r="E365" s="11"/>
      <c r="F365" s="11"/>
      <c r="G365" s="11"/>
    </row>
    <row r="366" spans="1:7" ht="27" customHeight="1">
      <c r="A366" s="149" t="s">
        <v>547</v>
      </c>
      <c r="B366" s="150"/>
      <c r="C366" s="150"/>
      <c r="D366" s="150"/>
      <c r="E366" s="150"/>
      <c r="F366" s="150"/>
      <c r="G366" s="150"/>
    </row>
    <row r="367" spans="1:7" ht="15" customHeight="1">
      <c r="A367" s="151" t="s">
        <v>383</v>
      </c>
      <c r="B367" s="152"/>
      <c r="C367" s="12" t="s">
        <v>373</v>
      </c>
      <c r="D367" s="12" t="s">
        <v>374</v>
      </c>
      <c r="E367" s="12" t="s">
        <v>375</v>
      </c>
      <c r="F367" s="12" t="s">
        <v>376</v>
      </c>
      <c r="G367" s="12" t="s">
        <v>377</v>
      </c>
    </row>
    <row r="368" spans="1:7" ht="27.95" customHeight="1">
      <c r="A368" s="13" t="s">
        <v>548</v>
      </c>
      <c r="B368" s="14" t="s">
        <v>549</v>
      </c>
      <c r="C368" s="13" t="s">
        <v>405</v>
      </c>
      <c r="D368" s="13" t="s">
        <v>392</v>
      </c>
      <c r="E368" s="15">
        <v>0.42</v>
      </c>
      <c r="F368" s="16">
        <v>1.74</v>
      </c>
      <c r="G368" s="16">
        <v>0.73</v>
      </c>
    </row>
    <row r="369" spans="1:7" ht="15" customHeight="1">
      <c r="A369" s="13" t="s">
        <v>550</v>
      </c>
      <c r="B369" s="14" t="s">
        <v>551</v>
      </c>
      <c r="C369" s="13" t="s">
        <v>405</v>
      </c>
      <c r="D369" s="13" t="s">
        <v>552</v>
      </c>
      <c r="E369" s="15">
        <v>0.01</v>
      </c>
      <c r="F369" s="16">
        <v>25.3</v>
      </c>
      <c r="G369" s="16">
        <v>0.25</v>
      </c>
    </row>
    <row r="370" spans="1:7" ht="20.100000000000001" customHeight="1">
      <c r="A370" s="13" t="s">
        <v>553</v>
      </c>
      <c r="B370" s="14" t="s">
        <v>554</v>
      </c>
      <c r="C370" s="13" t="s">
        <v>405</v>
      </c>
      <c r="D370" s="13" t="s">
        <v>430</v>
      </c>
      <c r="E370" s="15">
        <v>27.93</v>
      </c>
      <c r="F370" s="16">
        <v>0.51</v>
      </c>
      <c r="G370" s="16">
        <v>14.24</v>
      </c>
    </row>
    <row r="371" spans="1:7" ht="15" customHeight="1">
      <c r="A371" s="11"/>
      <c r="B371" s="11"/>
      <c r="C371" s="11"/>
      <c r="D371" s="11"/>
      <c r="E371" s="153" t="s">
        <v>396</v>
      </c>
      <c r="F371" s="154"/>
      <c r="G371" s="17">
        <v>15.22</v>
      </c>
    </row>
    <row r="372" spans="1:7" ht="15" customHeight="1">
      <c r="A372" s="151" t="s">
        <v>414</v>
      </c>
      <c r="B372" s="152"/>
      <c r="C372" s="12" t="s">
        <v>373</v>
      </c>
      <c r="D372" s="12" t="s">
        <v>374</v>
      </c>
      <c r="E372" s="12" t="s">
        <v>375</v>
      </c>
      <c r="F372" s="12" t="s">
        <v>376</v>
      </c>
      <c r="G372" s="12" t="s">
        <v>377</v>
      </c>
    </row>
    <row r="373" spans="1:7" ht="36" customHeight="1">
      <c r="A373" s="13" t="s">
        <v>555</v>
      </c>
      <c r="B373" s="14" t="s">
        <v>556</v>
      </c>
      <c r="C373" s="13" t="s">
        <v>405</v>
      </c>
      <c r="D373" s="13" t="s">
        <v>427</v>
      </c>
      <c r="E373" s="15">
        <v>1.2500000000000001E-2</v>
      </c>
      <c r="F373" s="16">
        <v>346.37</v>
      </c>
      <c r="G373" s="16">
        <v>4.33</v>
      </c>
    </row>
    <row r="374" spans="1:7" ht="15" customHeight="1">
      <c r="A374" s="13" t="s">
        <v>433</v>
      </c>
      <c r="B374" s="14" t="s">
        <v>434</v>
      </c>
      <c r="C374" s="13" t="s">
        <v>405</v>
      </c>
      <c r="D374" s="13" t="s">
        <v>381</v>
      </c>
      <c r="E374" s="15">
        <v>1.1100000000000001</v>
      </c>
      <c r="F374" s="16">
        <v>11.73</v>
      </c>
      <c r="G374" s="16">
        <v>13.02</v>
      </c>
    </row>
    <row r="375" spans="1:7" ht="15" customHeight="1">
      <c r="A375" s="13" t="s">
        <v>435</v>
      </c>
      <c r="B375" s="14" t="s">
        <v>436</v>
      </c>
      <c r="C375" s="13" t="s">
        <v>405</v>
      </c>
      <c r="D375" s="13" t="s">
        <v>381</v>
      </c>
      <c r="E375" s="15">
        <v>0.55500000000000005</v>
      </c>
      <c r="F375" s="16">
        <v>9.6300000000000008</v>
      </c>
      <c r="G375" s="16">
        <v>5.34</v>
      </c>
    </row>
    <row r="376" spans="1:7" ht="15" customHeight="1">
      <c r="A376" s="11"/>
      <c r="B376" s="11"/>
      <c r="C376" s="11"/>
      <c r="D376" s="11"/>
      <c r="E376" s="153" t="s">
        <v>431</v>
      </c>
      <c r="F376" s="154"/>
      <c r="G376" s="17">
        <v>22.69</v>
      </c>
    </row>
    <row r="377" spans="1:7" ht="15" customHeight="1">
      <c r="A377" s="11"/>
      <c r="B377" s="11"/>
      <c r="C377" s="11"/>
      <c r="D377" s="11"/>
      <c r="E377" s="147" t="s">
        <v>397</v>
      </c>
      <c r="F377" s="148"/>
      <c r="G377" s="18">
        <v>37.909999999999997</v>
      </c>
    </row>
    <row r="378" spans="1:7" ht="15" customHeight="1">
      <c r="A378" s="11"/>
      <c r="B378" s="11"/>
      <c r="C378" s="11"/>
      <c r="D378" s="11"/>
      <c r="E378" s="147" t="s">
        <v>398</v>
      </c>
      <c r="F378" s="148"/>
      <c r="G378" s="18">
        <v>8.69</v>
      </c>
    </row>
    <row r="379" spans="1:7" ht="15" customHeight="1">
      <c r="A379" s="11"/>
      <c r="B379" s="11"/>
      <c r="C379" s="11"/>
      <c r="D379" s="11"/>
      <c r="E379" s="147" t="s">
        <v>399</v>
      </c>
      <c r="F379" s="148"/>
      <c r="G379" s="18">
        <v>46.6</v>
      </c>
    </row>
    <row r="380" spans="1:7" ht="15" customHeight="1">
      <c r="A380" s="11"/>
      <c r="B380" s="11"/>
      <c r="C380" s="11"/>
      <c r="D380" s="11"/>
      <c r="E380" s="147" t="s">
        <v>400</v>
      </c>
      <c r="F380" s="148"/>
      <c r="G380" s="18">
        <v>11.314500000000001</v>
      </c>
    </row>
    <row r="381" spans="1:7" ht="15" customHeight="1">
      <c r="A381" s="11"/>
      <c r="B381" s="11"/>
      <c r="C381" s="11"/>
      <c r="D381" s="11"/>
      <c r="E381" s="147" t="s">
        <v>401</v>
      </c>
      <c r="F381" s="148"/>
      <c r="G381" s="18">
        <v>57.91</v>
      </c>
    </row>
    <row r="382" spans="1:7" ht="9.9499999999999993" customHeight="1">
      <c r="A382" s="11"/>
      <c r="B382" s="11"/>
      <c r="C382" s="155" t="s">
        <v>370</v>
      </c>
      <c r="D382" s="156"/>
      <c r="E382" s="11"/>
      <c r="F382" s="11"/>
      <c r="G382" s="11"/>
    </row>
    <row r="383" spans="1:7" ht="27" customHeight="1">
      <c r="A383" s="149" t="s">
        <v>557</v>
      </c>
      <c r="B383" s="150"/>
      <c r="C383" s="150"/>
      <c r="D383" s="150"/>
      <c r="E383" s="150"/>
      <c r="F383" s="150"/>
      <c r="G383" s="150"/>
    </row>
    <row r="384" spans="1:7" ht="15" customHeight="1">
      <c r="A384" s="151" t="s">
        <v>383</v>
      </c>
      <c r="B384" s="152"/>
      <c r="C384" s="12" t="s">
        <v>373</v>
      </c>
      <c r="D384" s="12" t="s">
        <v>374</v>
      </c>
      <c r="E384" s="12" t="s">
        <v>375</v>
      </c>
      <c r="F384" s="12" t="s">
        <v>376</v>
      </c>
      <c r="G384" s="12" t="s">
        <v>377</v>
      </c>
    </row>
    <row r="385" spans="1:7" ht="27.95" customHeight="1">
      <c r="A385" s="13" t="s">
        <v>548</v>
      </c>
      <c r="B385" s="14" t="s">
        <v>549</v>
      </c>
      <c r="C385" s="13" t="s">
        <v>405</v>
      </c>
      <c r="D385" s="13" t="s">
        <v>392</v>
      </c>
      <c r="E385" s="15">
        <v>0.42</v>
      </c>
      <c r="F385" s="16">
        <v>1.74</v>
      </c>
      <c r="G385" s="16">
        <v>0.73</v>
      </c>
    </row>
    <row r="386" spans="1:7" ht="15" customHeight="1">
      <c r="A386" s="13" t="s">
        <v>550</v>
      </c>
      <c r="B386" s="14" t="s">
        <v>551</v>
      </c>
      <c r="C386" s="13" t="s">
        <v>405</v>
      </c>
      <c r="D386" s="13" t="s">
        <v>552</v>
      </c>
      <c r="E386" s="15">
        <v>0.01</v>
      </c>
      <c r="F386" s="16">
        <v>25.3</v>
      </c>
      <c r="G386" s="16">
        <v>0.25</v>
      </c>
    </row>
    <row r="387" spans="1:7" ht="20.100000000000001" customHeight="1">
      <c r="A387" s="13" t="s">
        <v>553</v>
      </c>
      <c r="B387" s="14" t="s">
        <v>554</v>
      </c>
      <c r="C387" s="13" t="s">
        <v>405</v>
      </c>
      <c r="D387" s="13" t="s">
        <v>430</v>
      </c>
      <c r="E387" s="15">
        <v>27.93</v>
      </c>
      <c r="F387" s="16">
        <v>0.51</v>
      </c>
      <c r="G387" s="16">
        <v>14.24</v>
      </c>
    </row>
    <row r="388" spans="1:7" ht="15" customHeight="1">
      <c r="A388" s="11"/>
      <c r="B388" s="11"/>
      <c r="C388" s="11"/>
      <c r="D388" s="11"/>
      <c r="E388" s="153" t="s">
        <v>396</v>
      </c>
      <c r="F388" s="154"/>
      <c r="G388" s="17">
        <v>15.22</v>
      </c>
    </row>
    <row r="389" spans="1:7" ht="15" customHeight="1">
      <c r="A389" s="151" t="s">
        <v>414</v>
      </c>
      <c r="B389" s="152"/>
      <c r="C389" s="12" t="s">
        <v>373</v>
      </c>
      <c r="D389" s="12" t="s">
        <v>374</v>
      </c>
      <c r="E389" s="12" t="s">
        <v>375</v>
      </c>
      <c r="F389" s="12" t="s">
        <v>376</v>
      </c>
      <c r="G389" s="12" t="s">
        <v>377</v>
      </c>
    </row>
    <row r="390" spans="1:7" ht="36" customHeight="1">
      <c r="A390" s="13" t="s">
        <v>555</v>
      </c>
      <c r="B390" s="14" t="s">
        <v>556</v>
      </c>
      <c r="C390" s="13" t="s">
        <v>405</v>
      </c>
      <c r="D390" s="13" t="s">
        <v>427</v>
      </c>
      <c r="E390" s="15">
        <v>1.2500000000000001E-2</v>
      </c>
      <c r="F390" s="16">
        <v>346.37</v>
      </c>
      <c r="G390" s="16">
        <v>4.33</v>
      </c>
    </row>
    <row r="391" spans="1:7" ht="15" customHeight="1">
      <c r="A391" s="13" t="s">
        <v>433</v>
      </c>
      <c r="B391" s="14" t="s">
        <v>434</v>
      </c>
      <c r="C391" s="13" t="s">
        <v>405</v>
      </c>
      <c r="D391" s="13" t="s">
        <v>381</v>
      </c>
      <c r="E391" s="15">
        <v>1.1100000000000001</v>
      </c>
      <c r="F391" s="16">
        <v>11.73</v>
      </c>
      <c r="G391" s="16">
        <v>13.02</v>
      </c>
    </row>
    <row r="392" spans="1:7" ht="15" customHeight="1">
      <c r="A392" s="13" t="s">
        <v>435</v>
      </c>
      <c r="B392" s="14" t="s">
        <v>436</v>
      </c>
      <c r="C392" s="13" t="s">
        <v>405</v>
      </c>
      <c r="D392" s="13" t="s">
        <v>381</v>
      </c>
      <c r="E392" s="15">
        <v>0.55500000000000005</v>
      </c>
      <c r="F392" s="16">
        <v>9.6300000000000008</v>
      </c>
      <c r="G392" s="16">
        <v>5.34</v>
      </c>
    </row>
    <row r="393" spans="1:7" ht="15" customHeight="1">
      <c r="A393" s="11"/>
      <c r="B393" s="11"/>
      <c r="C393" s="11"/>
      <c r="D393" s="11"/>
      <c r="E393" s="153" t="s">
        <v>431</v>
      </c>
      <c r="F393" s="154"/>
      <c r="G393" s="17">
        <v>22.69</v>
      </c>
    </row>
    <row r="394" spans="1:7" ht="15" customHeight="1">
      <c r="A394" s="11"/>
      <c r="B394" s="11"/>
      <c r="C394" s="11"/>
      <c r="D394" s="11"/>
      <c r="E394" s="147" t="s">
        <v>397</v>
      </c>
      <c r="F394" s="148"/>
      <c r="G394" s="18">
        <v>37.909999999999997</v>
      </c>
    </row>
    <row r="395" spans="1:7" ht="15" customHeight="1">
      <c r="A395" s="11"/>
      <c r="B395" s="11"/>
      <c r="C395" s="11"/>
      <c r="D395" s="11"/>
      <c r="E395" s="147" t="s">
        <v>398</v>
      </c>
      <c r="F395" s="148"/>
      <c r="G395" s="18">
        <v>8.69</v>
      </c>
    </row>
    <row r="396" spans="1:7" ht="15" customHeight="1">
      <c r="A396" s="11"/>
      <c r="B396" s="11"/>
      <c r="C396" s="11"/>
      <c r="D396" s="11"/>
      <c r="E396" s="147" t="s">
        <v>399</v>
      </c>
      <c r="F396" s="148"/>
      <c r="G396" s="18">
        <v>46.6</v>
      </c>
    </row>
    <row r="397" spans="1:7" ht="15" customHeight="1">
      <c r="A397" s="11"/>
      <c r="B397" s="11"/>
      <c r="C397" s="11"/>
      <c r="D397" s="11"/>
      <c r="E397" s="147" t="s">
        <v>400</v>
      </c>
      <c r="F397" s="148"/>
      <c r="G397" s="18">
        <v>11.314500000000001</v>
      </c>
    </row>
    <row r="398" spans="1:7" ht="15" customHeight="1">
      <c r="A398" s="11"/>
      <c r="B398" s="11"/>
      <c r="C398" s="11"/>
      <c r="D398" s="11"/>
      <c r="E398" s="147" t="s">
        <v>401</v>
      </c>
      <c r="F398" s="148"/>
      <c r="G398" s="18">
        <v>57.91</v>
      </c>
    </row>
    <row r="399" spans="1:7" ht="9.9499999999999993" customHeight="1">
      <c r="A399" s="11"/>
      <c r="B399" s="11"/>
      <c r="C399" s="155" t="s">
        <v>370</v>
      </c>
      <c r="D399" s="156"/>
      <c r="E399" s="11"/>
      <c r="F399" s="11"/>
      <c r="G399" s="11"/>
    </row>
    <row r="400" spans="1:7" ht="27" customHeight="1">
      <c r="A400" s="149" t="s">
        <v>558</v>
      </c>
      <c r="B400" s="150"/>
      <c r="C400" s="150"/>
      <c r="D400" s="150"/>
      <c r="E400" s="150"/>
      <c r="F400" s="150"/>
      <c r="G400" s="150"/>
    </row>
    <row r="401" spans="1:7" ht="15" customHeight="1">
      <c r="A401" s="151" t="s">
        <v>383</v>
      </c>
      <c r="B401" s="152"/>
      <c r="C401" s="12" t="s">
        <v>373</v>
      </c>
      <c r="D401" s="12" t="s">
        <v>374</v>
      </c>
      <c r="E401" s="12" t="s">
        <v>375</v>
      </c>
      <c r="F401" s="12" t="s">
        <v>376</v>
      </c>
      <c r="G401" s="12" t="s">
        <v>377</v>
      </c>
    </row>
    <row r="402" spans="1:7" ht="27.95" customHeight="1">
      <c r="A402" s="13" t="s">
        <v>548</v>
      </c>
      <c r="B402" s="14" t="s">
        <v>549</v>
      </c>
      <c r="C402" s="13" t="s">
        <v>405</v>
      </c>
      <c r="D402" s="13" t="s">
        <v>392</v>
      </c>
      <c r="E402" s="15">
        <v>0.42</v>
      </c>
      <c r="F402" s="16">
        <v>1.74</v>
      </c>
      <c r="G402" s="16">
        <v>0.73</v>
      </c>
    </row>
    <row r="403" spans="1:7" ht="15" customHeight="1">
      <c r="A403" s="13" t="s">
        <v>550</v>
      </c>
      <c r="B403" s="14" t="s">
        <v>551</v>
      </c>
      <c r="C403" s="13" t="s">
        <v>405</v>
      </c>
      <c r="D403" s="13" t="s">
        <v>552</v>
      </c>
      <c r="E403" s="15">
        <v>0.01</v>
      </c>
      <c r="F403" s="16">
        <v>25.3</v>
      </c>
      <c r="G403" s="16">
        <v>0.25</v>
      </c>
    </row>
    <row r="404" spans="1:7" ht="20.100000000000001" customHeight="1">
      <c r="A404" s="13" t="s">
        <v>553</v>
      </c>
      <c r="B404" s="14" t="s">
        <v>554</v>
      </c>
      <c r="C404" s="13" t="s">
        <v>405</v>
      </c>
      <c r="D404" s="13" t="s">
        <v>430</v>
      </c>
      <c r="E404" s="15">
        <v>27.93</v>
      </c>
      <c r="F404" s="16">
        <v>0.51</v>
      </c>
      <c r="G404" s="16">
        <v>14.24</v>
      </c>
    </row>
    <row r="405" spans="1:7" ht="15" customHeight="1">
      <c r="A405" s="11"/>
      <c r="B405" s="11"/>
      <c r="C405" s="11"/>
      <c r="D405" s="11"/>
      <c r="E405" s="153" t="s">
        <v>396</v>
      </c>
      <c r="F405" s="154"/>
      <c r="G405" s="17">
        <v>15.22</v>
      </c>
    </row>
    <row r="406" spans="1:7" ht="15" customHeight="1">
      <c r="A406" s="151" t="s">
        <v>414</v>
      </c>
      <c r="B406" s="152"/>
      <c r="C406" s="12" t="s">
        <v>373</v>
      </c>
      <c r="D406" s="12" t="s">
        <v>374</v>
      </c>
      <c r="E406" s="12" t="s">
        <v>375</v>
      </c>
      <c r="F406" s="12" t="s">
        <v>376</v>
      </c>
      <c r="G406" s="12" t="s">
        <v>377</v>
      </c>
    </row>
    <row r="407" spans="1:7" ht="36" customHeight="1">
      <c r="A407" s="13" t="s">
        <v>555</v>
      </c>
      <c r="B407" s="14" t="s">
        <v>556</v>
      </c>
      <c r="C407" s="13" t="s">
        <v>405</v>
      </c>
      <c r="D407" s="13" t="s">
        <v>427</v>
      </c>
      <c r="E407" s="15">
        <v>1.2500000000000001E-2</v>
      </c>
      <c r="F407" s="16">
        <v>346.37</v>
      </c>
      <c r="G407" s="16">
        <v>4.33</v>
      </c>
    </row>
    <row r="408" spans="1:7" ht="15" customHeight="1">
      <c r="A408" s="13" t="s">
        <v>433</v>
      </c>
      <c r="B408" s="14" t="s">
        <v>434</v>
      </c>
      <c r="C408" s="13" t="s">
        <v>405</v>
      </c>
      <c r="D408" s="13" t="s">
        <v>381</v>
      </c>
      <c r="E408" s="15">
        <v>1.1100000000000001</v>
      </c>
      <c r="F408" s="16">
        <v>11.73</v>
      </c>
      <c r="G408" s="16">
        <v>13.02</v>
      </c>
    </row>
    <row r="409" spans="1:7" ht="15" customHeight="1">
      <c r="A409" s="13" t="s">
        <v>435</v>
      </c>
      <c r="B409" s="14" t="s">
        <v>436</v>
      </c>
      <c r="C409" s="13" t="s">
        <v>405</v>
      </c>
      <c r="D409" s="13" t="s">
        <v>381</v>
      </c>
      <c r="E409" s="15">
        <v>0.55500000000000005</v>
      </c>
      <c r="F409" s="16">
        <v>9.6300000000000008</v>
      </c>
      <c r="G409" s="16">
        <v>5.34</v>
      </c>
    </row>
    <row r="410" spans="1:7" ht="15" customHeight="1">
      <c r="A410" s="11"/>
      <c r="B410" s="11"/>
      <c r="C410" s="11"/>
      <c r="D410" s="11"/>
      <c r="E410" s="153" t="s">
        <v>431</v>
      </c>
      <c r="F410" s="154"/>
      <c r="G410" s="17">
        <v>22.69</v>
      </c>
    </row>
    <row r="411" spans="1:7" ht="15" customHeight="1">
      <c r="A411" s="11"/>
      <c r="B411" s="11"/>
      <c r="C411" s="11"/>
      <c r="D411" s="11"/>
      <c r="E411" s="147" t="s">
        <v>397</v>
      </c>
      <c r="F411" s="148"/>
      <c r="G411" s="18">
        <v>37.909999999999997</v>
      </c>
    </row>
    <row r="412" spans="1:7" ht="15" customHeight="1">
      <c r="A412" s="11"/>
      <c r="B412" s="11"/>
      <c r="C412" s="11"/>
      <c r="D412" s="11"/>
      <c r="E412" s="147" t="s">
        <v>398</v>
      </c>
      <c r="F412" s="148"/>
      <c r="G412" s="18">
        <v>8.69</v>
      </c>
    </row>
    <row r="413" spans="1:7" ht="15" customHeight="1">
      <c r="A413" s="11"/>
      <c r="B413" s="11"/>
      <c r="C413" s="11"/>
      <c r="D413" s="11"/>
      <c r="E413" s="147" t="s">
        <v>399</v>
      </c>
      <c r="F413" s="148"/>
      <c r="G413" s="18">
        <v>46.6</v>
      </c>
    </row>
    <row r="414" spans="1:7" ht="15" customHeight="1">
      <c r="A414" s="11"/>
      <c r="B414" s="11"/>
      <c r="C414" s="11"/>
      <c r="D414" s="11"/>
      <c r="E414" s="147" t="s">
        <v>400</v>
      </c>
      <c r="F414" s="148"/>
      <c r="G414" s="18">
        <v>11.314500000000001</v>
      </c>
    </row>
    <row r="415" spans="1:7" ht="15" customHeight="1">
      <c r="A415" s="11"/>
      <c r="B415" s="11"/>
      <c r="C415" s="11"/>
      <c r="D415" s="11"/>
      <c r="E415" s="147" t="s">
        <v>401</v>
      </c>
      <c r="F415" s="148"/>
      <c r="G415" s="18">
        <v>57.91</v>
      </c>
    </row>
    <row r="416" spans="1:7" ht="9.9499999999999993" customHeight="1">
      <c r="A416" s="11"/>
      <c r="B416" s="11"/>
      <c r="C416" s="155" t="s">
        <v>370</v>
      </c>
      <c r="D416" s="156"/>
      <c r="E416" s="11"/>
      <c r="F416" s="11"/>
      <c r="G416" s="11"/>
    </row>
    <row r="417" spans="1:7" ht="20.100000000000001" customHeight="1">
      <c r="A417" s="149" t="s">
        <v>559</v>
      </c>
      <c r="B417" s="150"/>
      <c r="C417" s="150"/>
      <c r="D417" s="150"/>
      <c r="E417" s="150"/>
      <c r="F417" s="150"/>
      <c r="G417" s="150"/>
    </row>
    <row r="418" spans="1:7" ht="9.9499999999999993" customHeight="1">
      <c r="A418" s="158"/>
      <c r="B418" s="158"/>
      <c r="C418" s="158"/>
      <c r="D418" s="158"/>
      <c r="E418" s="158"/>
      <c r="F418" s="158"/>
      <c r="G418" s="158"/>
    </row>
    <row r="419" spans="1:7" ht="15" customHeight="1">
      <c r="A419" s="11"/>
      <c r="B419" s="11"/>
      <c r="C419" s="11"/>
      <c r="D419" s="11"/>
      <c r="E419" s="147" t="s">
        <v>397</v>
      </c>
      <c r="F419" s="148"/>
      <c r="G419" s="18">
        <v>310.5</v>
      </c>
    </row>
    <row r="420" spans="1:7" ht="15" customHeight="1">
      <c r="A420" s="11"/>
      <c r="B420" s="11"/>
      <c r="C420" s="11"/>
      <c r="D420" s="11"/>
      <c r="E420" s="147" t="s">
        <v>545</v>
      </c>
      <c r="F420" s="148"/>
      <c r="G420" s="18">
        <v>0</v>
      </c>
    </row>
    <row r="421" spans="1:7" ht="15" customHeight="1">
      <c r="A421" s="11"/>
      <c r="B421" s="11"/>
      <c r="C421" s="11"/>
      <c r="D421" s="11"/>
      <c r="E421" s="147" t="s">
        <v>399</v>
      </c>
      <c r="F421" s="148"/>
      <c r="G421" s="18">
        <v>310.5</v>
      </c>
    </row>
    <row r="422" spans="1:7" ht="15" customHeight="1">
      <c r="A422" s="11"/>
      <c r="B422" s="11"/>
      <c r="C422" s="11"/>
      <c r="D422" s="11"/>
      <c r="E422" s="147" t="s">
        <v>400</v>
      </c>
      <c r="F422" s="148"/>
      <c r="G422" s="18">
        <v>75.389399999999995</v>
      </c>
    </row>
    <row r="423" spans="1:7" ht="15" customHeight="1">
      <c r="A423" s="11"/>
      <c r="B423" s="11"/>
      <c r="C423" s="11"/>
      <c r="D423" s="11"/>
      <c r="E423" s="147" t="s">
        <v>401</v>
      </c>
      <c r="F423" s="148"/>
      <c r="G423" s="18">
        <v>385.89</v>
      </c>
    </row>
    <row r="424" spans="1:7" ht="9.9499999999999993" customHeight="1">
      <c r="A424" s="11"/>
      <c r="B424" s="11"/>
      <c r="C424" s="155" t="s">
        <v>370</v>
      </c>
      <c r="D424" s="156"/>
      <c r="E424" s="11"/>
      <c r="F424" s="11"/>
      <c r="G424" s="11"/>
    </row>
    <row r="425" spans="1:7" ht="20.100000000000001" customHeight="1">
      <c r="A425" s="149" t="s">
        <v>560</v>
      </c>
      <c r="B425" s="150"/>
      <c r="C425" s="150"/>
      <c r="D425" s="150"/>
      <c r="E425" s="150"/>
      <c r="F425" s="150"/>
      <c r="G425" s="150"/>
    </row>
    <row r="426" spans="1:7" ht="15" customHeight="1">
      <c r="A426" s="151" t="s">
        <v>372</v>
      </c>
      <c r="B426" s="152"/>
      <c r="C426" s="12" t="s">
        <v>373</v>
      </c>
      <c r="D426" s="12" t="s">
        <v>374</v>
      </c>
      <c r="E426" s="12" t="s">
        <v>375</v>
      </c>
      <c r="F426" s="12" t="s">
        <v>376</v>
      </c>
      <c r="G426" s="12" t="s">
        <v>377</v>
      </c>
    </row>
    <row r="427" spans="1:7" ht="15" customHeight="1">
      <c r="A427" s="13" t="s">
        <v>461</v>
      </c>
      <c r="B427" s="14" t="s">
        <v>462</v>
      </c>
      <c r="C427" s="13" t="s">
        <v>380</v>
      </c>
      <c r="D427" s="13" t="s">
        <v>381</v>
      </c>
      <c r="E427" s="15">
        <v>2.5499999999999998</v>
      </c>
      <c r="F427" s="16">
        <v>7.8402000000000003</v>
      </c>
      <c r="G427" s="16">
        <v>19.989999999999998</v>
      </c>
    </row>
    <row r="428" spans="1:7" ht="15" customHeight="1">
      <c r="A428" s="13" t="s">
        <v>463</v>
      </c>
      <c r="B428" s="14" t="s">
        <v>464</v>
      </c>
      <c r="C428" s="13" t="s">
        <v>380</v>
      </c>
      <c r="D428" s="13" t="s">
        <v>381</v>
      </c>
      <c r="E428" s="15">
        <v>2.5499999999999998</v>
      </c>
      <c r="F428" s="16">
        <v>9.6273999999999997</v>
      </c>
      <c r="G428" s="16">
        <v>24.55</v>
      </c>
    </row>
    <row r="429" spans="1:7" ht="15" customHeight="1">
      <c r="A429" s="11"/>
      <c r="B429" s="11"/>
      <c r="C429" s="11"/>
      <c r="D429" s="11"/>
      <c r="E429" s="153" t="s">
        <v>382</v>
      </c>
      <c r="F429" s="154"/>
      <c r="G429" s="17">
        <v>44.54</v>
      </c>
    </row>
    <row r="430" spans="1:7" ht="15" customHeight="1">
      <c r="A430" s="151" t="s">
        <v>383</v>
      </c>
      <c r="B430" s="152"/>
      <c r="C430" s="12" t="s">
        <v>373</v>
      </c>
      <c r="D430" s="12" t="s">
        <v>374</v>
      </c>
      <c r="E430" s="12" t="s">
        <v>375</v>
      </c>
      <c r="F430" s="12" t="s">
        <v>376</v>
      </c>
      <c r="G430" s="12" t="s">
        <v>377</v>
      </c>
    </row>
    <row r="431" spans="1:7" ht="15" customHeight="1">
      <c r="A431" s="13" t="s">
        <v>561</v>
      </c>
      <c r="B431" s="14" t="s">
        <v>562</v>
      </c>
      <c r="C431" s="13" t="s">
        <v>380</v>
      </c>
      <c r="D431" s="13" t="s">
        <v>430</v>
      </c>
      <c r="E431" s="15">
        <v>3</v>
      </c>
      <c r="F431" s="16">
        <v>19.670000000000002</v>
      </c>
      <c r="G431" s="16">
        <v>59.01</v>
      </c>
    </row>
    <row r="432" spans="1:7" ht="15" customHeight="1">
      <c r="A432" s="13" t="s">
        <v>563</v>
      </c>
      <c r="B432" s="14" t="s">
        <v>564</v>
      </c>
      <c r="C432" s="13" t="s">
        <v>380</v>
      </c>
      <c r="D432" s="13" t="s">
        <v>430</v>
      </c>
      <c r="E432" s="15">
        <v>1</v>
      </c>
      <c r="F432" s="16">
        <v>52.5</v>
      </c>
      <c r="G432" s="16">
        <v>52.5</v>
      </c>
    </row>
    <row r="433" spans="1:7" ht="15" customHeight="1">
      <c r="A433" s="13" t="s">
        <v>565</v>
      </c>
      <c r="B433" s="14" t="s">
        <v>566</v>
      </c>
      <c r="C433" s="13" t="s">
        <v>380</v>
      </c>
      <c r="D433" s="13" t="s">
        <v>430</v>
      </c>
      <c r="E433" s="15">
        <v>1</v>
      </c>
      <c r="F433" s="16">
        <v>96.8</v>
      </c>
      <c r="G433" s="16">
        <v>96.8</v>
      </c>
    </row>
    <row r="434" spans="1:7" ht="15" customHeight="1">
      <c r="A434" s="11"/>
      <c r="B434" s="11"/>
      <c r="C434" s="11"/>
      <c r="D434" s="11"/>
      <c r="E434" s="153" t="s">
        <v>396</v>
      </c>
      <c r="F434" s="154"/>
      <c r="G434" s="17">
        <v>208.31</v>
      </c>
    </row>
    <row r="435" spans="1:7" ht="15" customHeight="1">
      <c r="A435" s="11"/>
      <c r="B435" s="11"/>
      <c r="C435" s="11"/>
      <c r="D435" s="11"/>
      <c r="E435" s="147" t="s">
        <v>397</v>
      </c>
      <c r="F435" s="148"/>
      <c r="G435" s="18">
        <v>252.85</v>
      </c>
    </row>
    <row r="436" spans="1:7" ht="15" customHeight="1">
      <c r="A436" s="11"/>
      <c r="B436" s="11"/>
      <c r="C436" s="11"/>
      <c r="D436" s="11"/>
      <c r="E436" s="147" t="s">
        <v>398</v>
      </c>
      <c r="F436" s="148"/>
      <c r="G436" s="18">
        <v>37.950000000000003</v>
      </c>
    </row>
    <row r="437" spans="1:7" ht="15" customHeight="1">
      <c r="A437" s="11"/>
      <c r="B437" s="11"/>
      <c r="C437" s="11"/>
      <c r="D437" s="11"/>
      <c r="E437" s="147" t="s">
        <v>399</v>
      </c>
      <c r="F437" s="148"/>
      <c r="G437" s="18">
        <v>290.8</v>
      </c>
    </row>
    <row r="438" spans="1:7" ht="15" customHeight="1">
      <c r="A438" s="11"/>
      <c r="B438" s="11"/>
      <c r="C438" s="11"/>
      <c r="D438" s="11"/>
      <c r="E438" s="147" t="s">
        <v>400</v>
      </c>
      <c r="F438" s="148"/>
      <c r="G438" s="18">
        <v>70.606200000000001</v>
      </c>
    </row>
    <row r="439" spans="1:7" ht="15" customHeight="1">
      <c r="A439" s="11"/>
      <c r="B439" s="11"/>
      <c r="C439" s="11"/>
      <c r="D439" s="11"/>
      <c r="E439" s="147" t="s">
        <v>401</v>
      </c>
      <c r="F439" s="148"/>
      <c r="G439" s="18">
        <v>361.41</v>
      </c>
    </row>
    <row r="440" spans="1:7" ht="9.9499999999999993" customHeight="1">
      <c r="A440" s="11"/>
      <c r="B440" s="11"/>
      <c r="C440" s="155" t="s">
        <v>370</v>
      </c>
      <c r="D440" s="156"/>
      <c r="E440" s="11"/>
      <c r="F440" s="11"/>
      <c r="G440" s="11"/>
    </row>
    <row r="441" spans="1:7" ht="20.100000000000001" customHeight="1">
      <c r="A441" s="149" t="s">
        <v>567</v>
      </c>
      <c r="B441" s="150"/>
      <c r="C441" s="150"/>
      <c r="D441" s="150"/>
      <c r="E441" s="150"/>
      <c r="F441" s="150"/>
      <c r="G441" s="150"/>
    </row>
    <row r="442" spans="1:7" ht="15" customHeight="1">
      <c r="A442" s="151" t="s">
        <v>372</v>
      </c>
      <c r="B442" s="152"/>
      <c r="C442" s="12" t="s">
        <v>373</v>
      </c>
      <c r="D442" s="12" t="s">
        <v>374</v>
      </c>
      <c r="E442" s="12" t="s">
        <v>375</v>
      </c>
      <c r="F442" s="12" t="s">
        <v>376</v>
      </c>
      <c r="G442" s="12" t="s">
        <v>377</v>
      </c>
    </row>
    <row r="443" spans="1:7" ht="15" customHeight="1">
      <c r="A443" s="13" t="s">
        <v>461</v>
      </c>
      <c r="B443" s="14" t="s">
        <v>462</v>
      </c>
      <c r="C443" s="13" t="s">
        <v>380</v>
      </c>
      <c r="D443" s="13" t="s">
        <v>381</v>
      </c>
      <c r="E443" s="15">
        <v>2.5499999999999998</v>
      </c>
      <c r="F443" s="16">
        <v>7.8402000000000003</v>
      </c>
      <c r="G443" s="16">
        <v>19.989999999999998</v>
      </c>
    </row>
    <row r="444" spans="1:7" ht="15" customHeight="1">
      <c r="A444" s="13" t="s">
        <v>463</v>
      </c>
      <c r="B444" s="14" t="s">
        <v>464</v>
      </c>
      <c r="C444" s="13" t="s">
        <v>380</v>
      </c>
      <c r="D444" s="13" t="s">
        <v>381</v>
      </c>
      <c r="E444" s="15">
        <v>2.5499999999999998</v>
      </c>
      <c r="F444" s="16">
        <v>9.6273999999999997</v>
      </c>
      <c r="G444" s="16">
        <v>24.55</v>
      </c>
    </row>
    <row r="445" spans="1:7" ht="15" customHeight="1">
      <c r="A445" s="11"/>
      <c r="B445" s="11"/>
      <c r="C445" s="11"/>
      <c r="D445" s="11"/>
      <c r="E445" s="153" t="s">
        <v>382</v>
      </c>
      <c r="F445" s="154"/>
      <c r="G445" s="17">
        <v>44.54</v>
      </c>
    </row>
    <row r="446" spans="1:7" ht="15" customHeight="1">
      <c r="A446" s="151" t="s">
        <v>383</v>
      </c>
      <c r="B446" s="152"/>
      <c r="C446" s="12" t="s">
        <v>373</v>
      </c>
      <c r="D446" s="12" t="s">
        <v>374</v>
      </c>
      <c r="E446" s="12" t="s">
        <v>375</v>
      </c>
      <c r="F446" s="12" t="s">
        <v>376</v>
      </c>
      <c r="G446" s="12" t="s">
        <v>377</v>
      </c>
    </row>
    <row r="447" spans="1:7" ht="15" customHeight="1">
      <c r="A447" s="13" t="s">
        <v>561</v>
      </c>
      <c r="B447" s="14" t="s">
        <v>562</v>
      </c>
      <c r="C447" s="13" t="s">
        <v>380</v>
      </c>
      <c r="D447" s="13" t="s">
        <v>430</v>
      </c>
      <c r="E447" s="15">
        <v>3</v>
      </c>
      <c r="F447" s="16">
        <v>19.670000000000002</v>
      </c>
      <c r="G447" s="16">
        <v>59.01</v>
      </c>
    </row>
    <row r="448" spans="1:7" ht="15" customHeight="1">
      <c r="A448" s="13" t="s">
        <v>568</v>
      </c>
      <c r="B448" s="14" t="s">
        <v>569</v>
      </c>
      <c r="C448" s="13" t="s">
        <v>380</v>
      </c>
      <c r="D448" s="13" t="s">
        <v>430</v>
      </c>
      <c r="E448" s="15">
        <v>1</v>
      </c>
      <c r="F448" s="16">
        <v>46</v>
      </c>
      <c r="G448" s="16">
        <v>46</v>
      </c>
    </row>
    <row r="449" spans="1:7" ht="15" customHeight="1">
      <c r="A449" s="13" t="s">
        <v>570</v>
      </c>
      <c r="B449" s="14" t="s">
        <v>571</v>
      </c>
      <c r="C449" s="13" t="s">
        <v>380</v>
      </c>
      <c r="D449" s="13" t="s">
        <v>430</v>
      </c>
      <c r="E449" s="15">
        <v>1</v>
      </c>
      <c r="F449" s="16">
        <v>82.28</v>
      </c>
      <c r="G449" s="16">
        <v>82.28</v>
      </c>
    </row>
    <row r="450" spans="1:7" ht="15" customHeight="1">
      <c r="A450" s="11"/>
      <c r="B450" s="11"/>
      <c r="C450" s="11"/>
      <c r="D450" s="11"/>
      <c r="E450" s="153" t="s">
        <v>396</v>
      </c>
      <c r="F450" s="154"/>
      <c r="G450" s="17">
        <v>187.29</v>
      </c>
    </row>
    <row r="451" spans="1:7" ht="15" customHeight="1">
      <c r="A451" s="11"/>
      <c r="B451" s="11"/>
      <c r="C451" s="11"/>
      <c r="D451" s="11"/>
      <c r="E451" s="147" t="s">
        <v>397</v>
      </c>
      <c r="F451" s="148"/>
      <c r="G451" s="18">
        <v>231.83</v>
      </c>
    </row>
    <row r="452" spans="1:7" ht="15" customHeight="1">
      <c r="A452" s="11"/>
      <c r="B452" s="11"/>
      <c r="C452" s="11"/>
      <c r="D452" s="11"/>
      <c r="E452" s="147" t="s">
        <v>398</v>
      </c>
      <c r="F452" s="148"/>
      <c r="G452" s="18">
        <v>37.950000000000003</v>
      </c>
    </row>
    <row r="453" spans="1:7" ht="15" customHeight="1">
      <c r="A453" s="11"/>
      <c r="B453" s="11"/>
      <c r="C453" s="11"/>
      <c r="D453" s="11"/>
      <c r="E453" s="147" t="s">
        <v>399</v>
      </c>
      <c r="F453" s="148"/>
      <c r="G453" s="18">
        <v>269.77999999999997</v>
      </c>
    </row>
    <row r="454" spans="1:7" ht="15" customHeight="1">
      <c r="A454" s="11"/>
      <c r="B454" s="11"/>
      <c r="C454" s="11"/>
      <c r="D454" s="11"/>
      <c r="E454" s="147" t="s">
        <v>400</v>
      </c>
      <c r="F454" s="148"/>
      <c r="G454" s="18">
        <v>65.502600000000001</v>
      </c>
    </row>
    <row r="455" spans="1:7" ht="15" customHeight="1">
      <c r="A455" s="11"/>
      <c r="B455" s="11"/>
      <c r="C455" s="11"/>
      <c r="D455" s="11"/>
      <c r="E455" s="147" t="s">
        <v>401</v>
      </c>
      <c r="F455" s="148"/>
      <c r="G455" s="18">
        <v>335.28</v>
      </c>
    </row>
    <row r="456" spans="1:7" ht="9.9499999999999993" customHeight="1">
      <c r="A456" s="11"/>
      <c r="B456" s="11"/>
      <c r="C456" s="155" t="s">
        <v>370</v>
      </c>
      <c r="D456" s="156"/>
      <c r="E456" s="11"/>
      <c r="F456" s="11"/>
      <c r="G456" s="11"/>
    </row>
    <row r="457" spans="1:7" ht="20.100000000000001" customHeight="1">
      <c r="A457" s="149" t="s">
        <v>572</v>
      </c>
      <c r="B457" s="150"/>
      <c r="C457" s="150"/>
      <c r="D457" s="150"/>
      <c r="E457" s="150"/>
      <c r="F457" s="150"/>
      <c r="G457" s="150"/>
    </row>
    <row r="458" spans="1:7" ht="15" customHeight="1">
      <c r="A458" s="151" t="s">
        <v>372</v>
      </c>
      <c r="B458" s="152"/>
      <c r="C458" s="12" t="s">
        <v>373</v>
      </c>
      <c r="D458" s="12" t="s">
        <v>374</v>
      </c>
      <c r="E458" s="12" t="s">
        <v>375</v>
      </c>
      <c r="F458" s="12" t="s">
        <v>376</v>
      </c>
      <c r="G458" s="12" t="s">
        <v>377</v>
      </c>
    </row>
    <row r="459" spans="1:7" ht="15" customHeight="1">
      <c r="A459" s="13" t="s">
        <v>461</v>
      </c>
      <c r="B459" s="14" t="s">
        <v>462</v>
      </c>
      <c r="C459" s="13" t="s">
        <v>380</v>
      </c>
      <c r="D459" s="13" t="s">
        <v>381</v>
      </c>
      <c r="E459" s="15">
        <v>2.5499999999999998</v>
      </c>
      <c r="F459" s="16">
        <v>7.8402000000000003</v>
      </c>
      <c r="G459" s="16">
        <v>19.989999999999998</v>
      </c>
    </row>
    <row r="460" spans="1:7" ht="15" customHeight="1">
      <c r="A460" s="13" t="s">
        <v>463</v>
      </c>
      <c r="B460" s="14" t="s">
        <v>464</v>
      </c>
      <c r="C460" s="13" t="s">
        <v>380</v>
      </c>
      <c r="D460" s="13" t="s">
        <v>381</v>
      </c>
      <c r="E460" s="15">
        <v>2.5499999999999998</v>
      </c>
      <c r="F460" s="16">
        <v>9.6273999999999997</v>
      </c>
      <c r="G460" s="16">
        <v>24.55</v>
      </c>
    </row>
    <row r="461" spans="1:7" ht="15" customHeight="1">
      <c r="A461" s="11"/>
      <c r="B461" s="11"/>
      <c r="C461" s="11"/>
      <c r="D461" s="11"/>
      <c r="E461" s="153" t="s">
        <v>382</v>
      </c>
      <c r="F461" s="154"/>
      <c r="G461" s="17">
        <v>44.54</v>
      </c>
    </row>
    <row r="462" spans="1:7" ht="15" customHeight="1">
      <c r="A462" s="151" t="s">
        <v>383</v>
      </c>
      <c r="B462" s="152"/>
      <c r="C462" s="12" t="s">
        <v>373</v>
      </c>
      <c r="D462" s="12" t="s">
        <v>374</v>
      </c>
      <c r="E462" s="12" t="s">
        <v>375</v>
      </c>
      <c r="F462" s="12" t="s">
        <v>376</v>
      </c>
      <c r="G462" s="12" t="s">
        <v>377</v>
      </c>
    </row>
    <row r="463" spans="1:7" ht="15" customHeight="1">
      <c r="A463" s="13" t="s">
        <v>561</v>
      </c>
      <c r="B463" s="14" t="s">
        <v>562</v>
      </c>
      <c r="C463" s="13" t="s">
        <v>380</v>
      </c>
      <c r="D463" s="13" t="s">
        <v>430</v>
      </c>
      <c r="E463" s="15">
        <v>3</v>
      </c>
      <c r="F463" s="16">
        <v>19.670000000000002</v>
      </c>
      <c r="G463" s="16">
        <v>59.01</v>
      </c>
    </row>
    <row r="464" spans="1:7" ht="15" customHeight="1">
      <c r="A464" s="13" t="s">
        <v>568</v>
      </c>
      <c r="B464" s="14" t="s">
        <v>569</v>
      </c>
      <c r="C464" s="13" t="s">
        <v>380</v>
      </c>
      <c r="D464" s="13" t="s">
        <v>430</v>
      </c>
      <c r="E464" s="15">
        <v>1</v>
      </c>
      <c r="F464" s="16">
        <v>46</v>
      </c>
      <c r="G464" s="16">
        <v>46</v>
      </c>
    </row>
    <row r="465" spans="1:7" ht="15" customHeight="1">
      <c r="A465" s="13" t="s">
        <v>573</v>
      </c>
      <c r="B465" s="14" t="s">
        <v>574</v>
      </c>
      <c r="C465" s="13" t="s">
        <v>380</v>
      </c>
      <c r="D465" s="13" t="s">
        <v>430</v>
      </c>
      <c r="E465" s="15">
        <v>1</v>
      </c>
      <c r="F465" s="16">
        <v>89.06</v>
      </c>
      <c r="G465" s="16">
        <v>89.06</v>
      </c>
    </row>
    <row r="466" spans="1:7" ht="15" customHeight="1">
      <c r="A466" s="11"/>
      <c r="B466" s="11"/>
      <c r="C466" s="11"/>
      <c r="D466" s="11"/>
      <c r="E466" s="153" t="s">
        <v>396</v>
      </c>
      <c r="F466" s="154"/>
      <c r="G466" s="17">
        <v>194.07</v>
      </c>
    </row>
    <row r="467" spans="1:7" ht="15" customHeight="1">
      <c r="A467" s="11"/>
      <c r="B467" s="11"/>
      <c r="C467" s="11"/>
      <c r="D467" s="11"/>
      <c r="E467" s="147" t="s">
        <v>397</v>
      </c>
      <c r="F467" s="148"/>
      <c r="G467" s="18">
        <v>238.61</v>
      </c>
    </row>
    <row r="468" spans="1:7" ht="15" customHeight="1">
      <c r="A468" s="11"/>
      <c r="B468" s="11"/>
      <c r="C468" s="11"/>
      <c r="D468" s="11"/>
      <c r="E468" s="147" t="s">
        <v>398</v>
      </c>
      <c r="F468" s="148"/>
      <c r="G468" s="18">
        <v>37.950000000000003</v>
      </c>
    </row>
    <row r="469" spans="1:7" ht="15" customHeight="1">
      <c r="A469" s="11"/>
      <c r="B469" s="11"/>
      <c r="C469" s="11"/>
      <c r="D469" s="11"/>
      <c r="E469" s="147" t="s">
        <v>399</v>
      </c>
      <c r="F469" s="148"/>
      <c r="G469" s="18">
        <v>276.56</v>
      </c>
    </row>
    <row r="470" spans="1:7" ht="15" customHeight="1">
      <c r="A470" s="11"/>
      <c r="B470" s="11"/>
      <c r="C470" s="11"/>
      <c r="D470" s="11"/>
      <c r="E470" s="147" t="s">
        <v>400</v>
      </c>
      <c r="F470" s="148"/>
      <c r="G470" s="18">
        <v>67.148799999999994</v>
      </c>
    </row>
    <row r="471" spans="1:7" ht="15" customHeight="1">
      <c r="A471" s="11"/>
      <c r="B471" s="11"/>
      <c r="C471" s="11"/>
      <c r="D471" s="11"/>
      <c r="E471" s="147" t="s">
        <v>401</v>
      </c>
      <c r="F471" s="148"/>
      <c r="G471" s="18">
        <v>343.71</v>
      </c>
    </row>
    <row r="472" spans="1:7" ht="9.9499999999999993" customHeight="1">
      <c r="A472" s="11"/>
      <c r="B472" s="11"/>
      <c r="C472" s="155" t="s">
        <v>370</v>
      </c>
      <c r="D472" s="156"/>
      <c r="E472" s="11"/>
      <c r="F472" s="11"/>
      <c r="G472" s="11"/>
    </row>
    <row r="473" spans="1:7" ht="20.100000000000001" customHeight="1">
      <c r="A473" s="149" t="s">
        <v>575</v>
      </c>
      <c r="B473" s="150"/>
      <c r="C473" s="150"/>
      <c r="D473" s="150"/>
      <c r="E473" s="150"/>
      <c r="F473" s="150"/>
      <c r="G473" s="150"/>
    </row>
    <row r="474" spans="1:7" ht="15" customHeight="1">
      <c r="A474" s="151" t="s">
        <v>372</v>
      </c>
      <c r="B474" s="152"/>
      <c r="C474" s="12" t="s">
        <v>373</v>
      </c>
      <c r="D474" s="12" t="s">
        <v>374</v>
      </c>
      <c r="E474" s="12" t="s">
        <v>375</v>
      </c>
      <c r="F474" s="12" t="s">
        <v>376</v>
      </c>
      <c r="G474" s="12" t="s">
        <v>377</v>
      </c>
    </row>
    <row r="475" spans="1:7" ht="15" customHeight="1">
      <c r="A475" s="13" t="s">
        <v>576</v>
      </c>
      <c r="B475" s="14" t="s">
        <v>577</v>
      </c>
      <c r="C475" s="13" t="s">
        <v>482</v>
      </c>
      <c r="D475" s="13" t="s">
        <v>381</v>
      </c>
      <c r="E475" s="15">
        <v>1.169</v>
      </c>
      <c r="F475" s="16">
        <v>6.6</v>
      </c>
      <c r="G475" s="16">
        <v>7.72</v>
      </c>
    </row>
    <row r="476" spans="1:7" ht="15" customHeight="1">
      <c r="A476" s="13" t="s">
        <v>578</v>
      </c>
      <c r="B476" s="14" t="s">
        <v>579</v>
      </c>
      <c r="C476" s="13" t="s">
        <v>482</v>
      </c>
      <c r="D476" s="13" t="s">
        <v>381</v>
      </c>
      <c r="E476" s="15">
        <v>1.3819999999999999</v>
      </c>
      <c r="F476" s="16">
        <v>4.9000000000000004</v>
      </c>
      <c r="G476" s="16">
        <v>6.77</v>
      </c>
    </row>
    <row r="477" spans="1:7" ht="15" customHeight="1">
      <c r="A477" s="11"/>
      <c r="B477" s="11"/>
      <c r="C477" s="11"/>
      <c r="D477" s="11"/>
      <c r="E477" s="153" t="s">
        <v>382</v>
      </c>
      <c r="F477" s="154"/>
      <c r="G477" s="17">
        <v>14.49</v>
      </c>
    </row>
    <row r="478" spans="1:7" ht="15" customHeight="1">
      <c r="A478" s="151" t="s">
        <v>383</v>
      </c>
      <c r="B478" s="152"/>
      <c r="C478" s="12" t="s">
        <v>373</v>
      </c>
      <c r="D478" s="12" t="s">
        <v>374</v>
      </c>
      <c r="E478" s="12" t="s">
        <v>375</v>
      </c>
      <c r="F478" s="12" t="s">
        <v>376</v>
      </c>
      <c r="G478" s="12" t="s">
        <v>377</v>
      </c>
    </row>
    <row r="479" spans="1:7" ht="20.100000000000001" customHeight="1">
      <c r="A479" s="13" t="s">
        <v>580</v>
      </c>
      <c r="B479" s="14" t="s">
        <v>581</v>
      </c>
      <c r="C479" s="13" t="s">
        <v>482</v>
      </c>
      <c r="D479" s="13" t="s">
        <v>430</v>
      </c>
      <c r="E479" s="15">
        <v>0.34</v>
      </c>
      <c r="F479" s="16">
        <v>282.63</v>
      </c>
      <c r="G479" s="16">
        <v>96.09</v>
      </c>
    </row>
    <row r="480" spans="1:7" ht="15" customHeight="1">
      <c r="A480" s="13" t="s">
        <v>582</v>
      </c>
      <c r="B480" s="14" t="s">
        <v>583</v>
      </c>
      <c r="C480" s="13" t="s">
        <v>482</v>
      </c>
      <c r="D480" s="13" t="s">
        <v>386</v>
      </c>
      <c r="E480" s="15">
        <v>1.1000000000000001</v>
      </c>
      <c r="F480" s="16">
        <v>595</v>
      </c>
      <c r="G480" s="16">
        <v>654.5</v>
      </c>
    </row>
    <row r="481" spans="1:7" ht="15" customHeight="1">
      <c r="A481" s="11"/>
      <c r="B481" s="11"/>
      <c r="C481" s="11"/>
      <c r="D481" s="11"/>
      <c r="E481" s="153" t="s">
        <v>396</v>
      </c>
      <c r="F481" s="154"/>
      <c r="G481" s="17">
        <v>750.59</v>
      </c>
    </row>
    <row r="482" spans="1:7" ht="15" customHeight="1">
      <c r="A482" s="11"/>
      <c r="B482" s="11"/>
      <c r="C482" s="11"/>
      <c r="D482" s="11"/>
      <c r="E482" s="147" t="s">
        <v>397</v>
      </c>
      <c r="F482" s="148"/>
      <c r="G482" s="18">
        <v>765.08</v>
      </c>
    </row>
    <row r="483" spans="1:7" ht="15" customHeight="1">
      <c r="A483" s="11"/>
      <c r="B483" s="11"/>
      <c r="C483" s="11"/>
      <c r="D483" s="11"/>
      <c r="E483" s="147" t="s">
        <v>492</v>
      </c>
      <c r="F483" s="148"/>
      <c r="G483" s="18">
        <v>17.13</v>
      </c>
    </row>
    <row r="484" spans="1:7" ht="15" customHeight="1">
      <c r="A484" s="11"/>
      <c r="B484" s="11"/>
      <c r="C484" s="11"/>
      <c r="D484" s="11"/>
      <c r="E484" s="147" t="s">
        <v>399</v>
      </c>
      <c r="F484" s="148"/>
      <c r="G484" s="18">
        <v>782.21</v>
      </c>
    </row>
    <row r="485" spans="1:7" ht="15" customHeight="1">
      <c r="A485" s="11"/>
      <c r="B485" s="11"/>
      <c r="C485" s="11"/>
      <c r="D485" s="11"/>
      <c r="E485" s="147" t="s">
        <v>400</v>
      </c>
      <c r="F485" s="148"/>
      <c r="G485" s="18">
        <v>189.92060000000001</v>
      </c>
    </row>
    <row r="486" spans="1:7" ht="15" customHeight="1">
      <c r="A486" s="11"/>
      <c r="B486" s="11"/>
      <c r="C486" s="11"/>
      <c r="D486" s="11"/>
      <c r="E486" s="147" t="s">
        <v>401</v>
      </c>
      <c r="F486" s="148"/>
      <c r="G486" s="18">
        <v>972.13</v>
      </c>
    </row>
    <row r="487" spans="1:7" ht="9.9499999999999993" customHeight="1">
      <c r="A487" s="11"/>
      <c r="B487" s="11"/>
      <c r="C487" s="155" t="s">
        <v>370</v>
      </c>
      <c r="D487" s="156"/>
      <c r="E487" s="11"/>
      <c r="F487" s="11"/>
      <c r="G487" s="11"/>
    </row>
    <row r="488" spans="1:7" ht="20.100000000000001" customHeight="1">
      <c r="A488" s="149" t="s">
        <v>584</v>
      </c>
      <c r="B488" s="150"/>
      <c r="C488" s="150"/>
      <c r="D488" s="150"/>
      <c r="E488" s="150"/>
      <c r="F488" s="150"/>
      <c r="G488" s="150"/>
    </row>
    <row r="489" spans="1:7" ht="15" customHeight="1">
      <c r="A489" s="151" t="s">
        <v>383</v>
      </c>
      <c r="B489" s="152"/>
      <c r="C489" s="12" t="s">
        <v>373</v>
      </c>
      <c r="D489" s="12" t="s">
        <v>374</v>
      </c>
      <c r="E489" s="12" t="s">
        <v>375</v>
      </c>
      <c r="F489" s="12" t="s">
        <v>376</v>
      </c>
      <c r="G489" s="12" t="s">
        <v>377</v>
      </c>
    </row>
    <row r="490" spans="1:7" ht="27.95" customHeight="1">
      <c r="A490" s="13" t="s">
        <v>585</v>
      </c>
      <c r="B490" s="14" t="s">
        <v>586</v>
      </c>
      <c r="C490" s="13" t="s">
        <v>380</v>
      </c>
      <c r="D490" s="13" t="s">
        <v>386</v>
      </c>
      <c r="E490" s="15">
        <v>1</v>
      </c>
      <c r="F490" s="16">
        <v>344.85</v>
      </c>
      <c r="G490" s="16">
        <v>344.85</v>
      </c>
    </row>
    <row r="491" spans="1:7" ht="15" customHeight="1">
      <c r="A491" s="11"/>
      <c r="B491" s="11"/>
      <c r="C491" s="11"/>
      <c r="D491" s="11"/>
      <c r="E491" s="153" t="s">
        <v>396</v>
      </c>
      <c r="F491" s="154"/>
      <c r="G491" s="17">
        <v>344.85</v>
      </c>
    </row>
    <row r="492" spans="1:7" ht="15" customHeight="1">
      <c r="A492" s="11"/>
      <c r="B492" s="11"/>
      <c r="C492" s="11"/>
      <c r="D492" s="11"/>
      <c r="E492" s="147" t="s">
        <v>397</v>
      </c>
      <c r="F492" s="148"/>
      <c r="G492" s="18">
        <v>344.85</v>
      </c>
    </row>
    <row r="493" spans="1:7" ht="15" customHeight="1">
      <c r="A493" s="11"/>
      <c r="B493" s="11"/>
      <c r="C493" s="11"/>
      <c r="D493" s="11"/>
      <c r="E493" s="147" t="s">
        <v>545</v>
      </c>
      <c r="F493" s="148"/>
      <c r="G493" s="18">
        <v>0</v>
      </c>
    </row>
    <row r="494" spans="1:7" ht="15" customHeight="1">
      <c r="A494" s="11"/>
      <c r="B494" s="11"/>
      <c r="C494" s="11"/>
      <c r="D494" s="11"/>
      <c r="E494" s="147" t="s">
        <v>399</v>
      </c>
      <c r="F494" s="148"/>
      <c r="G494" s="18">
        <v>344.85</v>
      </c>
    </row>
    <row r="495" spans="1:7" ht="15" customHeight="1">
      <c r="A495" s="11"/>
      <c r="B495" s="11"/>
      <c r="C495" s="11"/>
      <c r="D495" s="11"/>
      <c r="E495" s="147" t="s">
        <v>400</v>
      </c>
      <c r="F495" s="148"/>
      <c r="G495" s="18">
        <v>83.729600000000005</v>
      </c>
    </row>
    <row r="496" spans="1:7" ht="15" customHeight="1">
      <c r="A496" s="11"/>
      <c r="B496" s="11"/>
      <c r="C496" s="11"/>
      <c r="D496" s="11"/>
      <c r="E496" s="147" t="s">
        <v>401</v>
      </c>
      <c r="F496" s="148"/>
      <c r="G496" s="18">
        <v>428.58</v>
      </c>
    </row>
    <row r="497" spans="1:7" ht="9.9499999999999993" customHeight="1">
      <c r="A497" s="11"/>
      <c r="B497" s="11"/>
      <c r="C497" s="155" t="s">
        <v>370</v>
      </c>
      <c r="D497" s="156"/>
      <c r="E497" s="11"/>
      <c r="F497" s="11"/>
      <c r="G497" s="11"/>
    </row>
    <row r="498" spans="1:7" ht="20.100000000000001" customHeight="1">
      <c r="A498" s="149" t="s">
        <v>587</v>
      </c>
      <c r="B498" s="150"/>
      <c r="C498" s="150"/>
      <c r="D498" s="150"/>
      <c r="E498" s="150"/>
      <c r="F498" s="150"/>
      <c r="G498" s="150"/>
    </row>
    <row r="499" spans="1:7" ht="9.9499999999999993" customHeight="1">
      <c r="A499" s="158"/>
      <c r="B499" s="158"/>
      <c r="C499" s="158"/>
      <c r="D499" s="158"/>
      <c r="E499" s="158"/>
      <c r="F499" s="158"/>
      <c r="G499" s="158"/>
    </row>
    <row r="500" spans="1:7" ht="15" customHeight="1">
      <c r="A500" s="11"/>
      <c r="B500" s="11"/>
      <c r="C500" s="11"/>
      <c r="D500" s="11"/>
      <c r="E500" s="147" t="s">
        <v>397</v>
      </c>
      <c r="F500" s="148"/>
      <c r="G500" s="18">
        <v>638.9</v>
      </c>
    </row>
    <row r="501" spans="1:7" ht="15" customHeight="1">
      <c r="A501" s="11"/>
      <c r="B501" s="11"/>
      <c r="C501" s="11"/>
      <c r="D501" s="11"/>
      <c r="E501" s="147" t="s">
        <v>545</v>
      </c>
      <c r="F501" s="148"/>
      <c r="G501" s="18">
        <v>0</v>
      </c>
    </row>
    <row r="502" spans="1:7" ht="15" customHeight="1">
      <c r="A502" s="11"/>
      <c r="B502" s="11"/>
      <c r="C502" s="11"/>
      <c r="D502" s="11"/>
      <c r="E502" s="147" t="s">
        <v>399</v>
      </c>
      <c r="F502" s="148"/>
      <c r="G502" s="18">
        <v>638.9</v>
      </c>
    </row>
    <row r="503" spans="1:7" ht="15" customHeight="1">
      <c r="A503" s="11"/>
      <c r="B503" s="11"/>
      <c r="C503" s="11"/>
      <c r="D503" s="11"/>
      <c r="E503" s="147" t="s">
        <v>400</v>
      </c>
      <c r="F503" s="148"/>
      <c r="G503" s="18">
        <v>155.1249</v>
      </c>
    </row>
    <row r="504" spans="1:7" ht="15" customHeight="1">
      <c r="A504" s="11"/>
      <c r="B504" s="11"/>
      <c r="C504" s="11"/>
      <c r="D504" s="11"/>
      <c r="E504" s="147" t="s">
        <v>401</v>
      </c>
      <c r="F504" s="148"/>
      <c r="G504" s="18">
        <v>794.02</v>
      </c>
    </row>
    <row r="505" spans="1:7" ht="9.9499999999999993" customHeight="1">
      <c r="A505" s="11"/>
      <c r="B505" s="11"/>
      <c r="C505" s="155" t="s">
        <v>370</v>
      </c>
      <c r="D505" s="156"/>
      <c r="E505" s="11"/>
      <c r="F505" s="11"/>
      <c r="G505" s="11"/>
    </row>
    <row r="506" spans="1:7" ht="20.100000000000001" customHeight="1">
      <c r="A506" s="149" t="s">
        <v>588</v>
      </c>
      <c r="B506" s="150"/>
      <c r="C506" s="150"/>
      <c r="D506" s="150"/>
      <c r="E506" s="150"/>
      <c r="F506" s="150"/>
      <c r="G506" s="150"/>
    </row>
    <row r="507" spans="1:7" ht="15" customHeight="1">
      <c r="A507" s="151" t="s">
        <v>372</v>
      </c>
      <c r="B507" s="152"/>
      <c r="C507" s="12" t="s">
        <v>373</v>
      </c>
      <c r="D507" s="12" t="s">
        <v>374</v>
      </c>
      <c r="E507" s="12" t="s">
        <v>375</v>
      </c>
      <c r="F507" s="12" t="s">
        <v>376</v>
      </c>
      <c r="G507" s="12" t="s">
        <v>377</v>
      </c>
    </row>
    <row r="508" spans="1:7" ht="15" customHeight="1">
      <c r="A508" s="13" t="s">
        <v>438</v>
      </c>
      <c r="B508" s="14" t="s">
        <v>439</v>
      </c>
      <c r="C508" s="13" t="s">
        <v>380</v>
      </c>
      <c r="D508" s="13" t="s">
        <v>381</v>
      </c>
      <c r="E508" s="15">
        <v>2</v>
      </c>
      <c r="F508" s="16">
        <v>9.6273999999999997</v>
      </c>
      <c r="G508" s="16">
        <v>19.25</v>
      </c>
    </row>
    <row r="509" spans="1:7" ht="15" customHeight="1">
      <c r="A509" s="13" t="s">
        <v>378</v>
      </c>
      <c r="B509" s="14" t="s">
        <v>379</v>
      </c>
      <c r="C509" s="13" t="s">
        <v>380</v>
      </c>
      <c r="D509" s="13" t="s">
        <v>381</v>
      </c>
      <c r="E509" s="15">
        <v>1</v>
      </c>
      <c r="F509" s="16">
        <v>7.1327999999999996</v>
      </c>
      <c r="G509" s="16">
        <v>7.13</v>
      </c>
    </row>
    <row r="510" spans="1:7" ht="15" customHeight="1">
      <c r="A510" s="11"/>
      <c r="B510" s="11"/>
      <c r="C510" s="11"/>
      <c r="D510" s="11"/>
      <c r="E510" s="153" t="s">
        <v>382</v>
      </c>
      <c r="F510" s="154"/>
      <c r="G510" s="17">
        <v>26.38</v>
      </c>
    </row>
    <row r="511" spans="1:7" ht="15" customHeight="1">
      <c r="A511" s="151" t="s">
        <v>383</v>
      </c>
      <c r="B511" s="152"/>
      <c r="C511" s="12" t="s">
        <v>373</v>
      </c>
      <c r="D511" s="12" t="s">
        <v>374</v>
      </c>
      <c r="E511" s="12" t="s">
        <v>375</v>
      </c>
      <c r="F511" s="12" t="s">
        <v>376</v>
      </c>
      <c r="G511" s="12" t="s">
        <v>377</v>
      </c>
    </row>
    <row r="512" spans="1:7" ht="15" customHeight="1">
      <c r="A512" s="13" t="s">
        <v>589</v>
      </c>
      <c r="B512" s="14" t="s">
        <v>590</v>
      </c>
      <c r="C512" s="13" t="s">
        <v>380</v>
      </c>
      <c r="D512" s="13" t="s">
        <v>386</v>
      </c>
      <c r="E512" s="15">
        <v>1</v>
      </c>
      <c r="F512" s="16">
        <v>49.77</v>
      </c>
      <c r="G512" s="16">
        <v>49.77</v>
      </c>
    </row>
    <row r="513" spans="1:7" ht="15" customHeight="1">
      <c r="A513" s="11"/>
      <c r="B513" s="11"/>
      <c r="C513" s="11"/>
      <c r="D513" s="11"/>
      <c r="E513" s="153" t="s">
        <v>396</v>
      </c>
      <c r="F513" s="154"/>
      <c r="G513" s="17">
        <v>49.77</v>
      </c>
    </row>
    <row r="514" spans="1:7" ht="15" customHeight="1">
      <c r="A514" s="151" t="s">
        <v>414</v>
      </c>
      <c r="B514" s="152"/>
      <c r="C514" s="12" t="s">
        <v>373</v>
      </c>
      <c r="D514" s="12" t="s">
        <v>374</v>
      </c>
      <c r="E514" s="12" t="s">
        <v>375</v>
      </c>
      <c r="F514" s="12" t="s">
        <v>376</v>
      </c>
      <c r="G514" s="12" t="s">
        <v>377</v>
      </c>
    </row>
    <row r="515" spans="1:7" ht="15" customHeight="1">
      <c r="A515" s="13" t="s">
        <v>591</v>
      </c>
      <c r="B515" s="14" t="s">
        <v>592</v>
      </c>
      <c r="C515" s="13" t="s">
        <v>380</v>
      </c>
      <c r="D515" s="13" t="s">
        <v>427</v>
      </c>
      <c r="E515" s="15">
        <v>5.8999999999999999E-3</v>
      </c>
      <c r="F515" s="16">
        <v>517.04</v>
      </c>
      <c r="G515" s="16">
        <v>3.05</v>
      </c>
    </row>
    <row r="516" spans="1:7" ht="15" customHeight="1">
      <c r="A516" s="11"/>
      <c r="B516" s="11"/>
      <c r="C516" s="11"/>
      <c r="D516" s="11"/>
      <c r="E516" s="153" t="s">
        <v>431</v>
      </c>
      <c r="F516" s="154"/>
      <c r="G516" s="17">
        <v>3.05</v>
      </c>
    </row>
    <row r="517" spans="1:7" ht="15" customHeight="1">
      <c r="A517" s="11"/>
      <c r="B517" s="11"/>
      <c r="C517" s="11"/>
      <c r="D517" s="11"/>
      <c r="E517" s="147" t="s">
        <v>397</v>
      </c>
      <c r="F517" s="148"/>
      <c r="G517" s="18">
        <v>79.2</v>
      </c>
    </row>
    <row r="518" spans="1:7" ht="15" customHeight="1">
      <c r="A518" s="11"/>
      <c r="B518" s="11"/>
      <c r="C518" s="11"/>
      <c r="D518" s="11"/>
      <c r="E518" s="147" t="s">
        <v>398</v>
      </c>
      <c r="F518" s="148"/>
      <c r="G518" s="18">
        <v>23.65</v>
      </c>
    </row>
    <row r="519" spans="1:7" ht="15" customHeight="1">
      <c r="A519" s="11"/>
      <c r="B519" s="11"/>
      <c r="C519" s="11"/>
      <c r="D519" s="11"/>
      <c r="E519" s="147" t="s">
        <v>399</v>
      </c>
      <c r="F519" s="148"/>
      <c r="G519" s="18">
        <v>102.85</v>
      </c>
    </row>
    <row r="520" spans="1:7" ht="15" customHeight="1">
      <c r="A520" s="11"/>
      <c r="B520" s="11"/>
      <c r="C520" s="11"/>
      <c r="D520" s="11"/>
      <c r="E520" s="147" t="s">
        <v>400</v>
      </c>
      <c r="F520" s="148"/>
      <c r="G520" s="18">
        <v>24.972000000000001</v>
      </c>
    </row>
    <row r="521" spans="1:7" ht="15" customHeight="1">
      <c r="A521" s="11"/>
      <c r="B521" s="11"/>
      <c r="C521" s="11"/>
      <c r="D521" s="11"/>
      <c r="E521" s="147" t="s">
        <v>401</v>
      </c>
      <c r="F521" s="148"/>
      <c r="G521" s="18">
        <v>127.82</v>
      </c>
    </row>
    <row r="522" spans="1:7" ht="9.9499999999999993" customHeight="1">
      <c r="A522" s="11"/>
      <c r="B522" s="11"/>
      <c r="C522" s="155" t="s">
        <v>370</v>
      </c>
      <c r="D522" s="156"/>
      <c r="E522" s="11"/>
      <c r="F522" s="11"/>
      <c r="G522" s="11"/>
    </row>
    <row r="523" spans="1:7" ht="20.100000000000001" customHeight="1">
      <c r="A523" s="149" t="s">
        <v>593</v>
      </c>
      <c r="B523" s="150"/>
      <c r="C523" s="150"/>
      <c r="D523" s="150"/>
      <c r="E523" s="150"/>
      <c r="F523" s="150"/>
      <c r="G523" s="150"/>
    </row>
    <row r="524" spans="1:7" ht="15" customHeight="1">
      <c r="A524" s="151" t="s">
        <v>372</v>
      </c>
      <c r="B524" s="152"/>
      <c r="C524" s="12" t="s">
        <v>373</v>
      </c>
      <c r="D524" s="12" t="s">
        <v>374</v>
      </c>
      <c r="E524" s="12" t="s">
        <v>375</v>
      </c>
      <c r="F524" s="12" t="s">
        <v>376</v>
      </c>
      <c r="G524" s="12" t="s">
        <v>377</v>
      </c>
    </row>
    <row r="525" spans="1:7" ht="15" customHeight="1">
      <c r="A525" s="13" t="s">
        <v>594</v>
      </c>
      <c r="B525" s="14" t="s">
        <v>595</v>
      </c>
      <c r="C525" s="13" t="s">
        <v>380</v>
      </c>
      <c r="D525" s="13" t="s">
        <v>381</v>
      </c>
      <c r="E525" s="15">
        <v>1</v>
      </c>
      <c r="F525" s="16">
        <v>7.8402000000000003</v>
      </c>
      <c r="G525" s="16">
        <v>7.84</v>
      </c>
    </row>
    <row r="526" spans="1:7" ht="15" customHeight="1">
      <c r="A526" s="13" t="s">
        <v>463</v>
      </c>
      <c r="B526" s="14" t="s">
        <v>464</v>
      </c>
      <c r="C526" s="13" t="s">
        <v>380</v>
      </c>
      <c r="D526" s="13" t="s">
        <v>381</v>
      </c>
      <c r="E526" s="15">
        <v>1</v>
      </c>
      <c r="F526" s="16">
        <v>9.6273999999999997</v>
      </c>
      <c r="G526" s="16">
        <v>9.6300000000000008</v>
      </c>
    </row>
    <row r="527" spans="1:7" ht="15" customHeight="1">
      <c r="A527" s="11"/>
      <c r="B527" s="11"/>
      <c r="C527" s="11"/>
      <c r="D527" s="11"/>
      <c r="E527" s="153" t="s">
        <v>382</v>
      </c>
      <c r="F527" s="154"/>
      <c r="G527" s="17">
        <v>17.47</v>
      </c>
    </row>
    <row r="528" spans="1:7" ht="15" customHeight="1">
      <c r="A528" s="151" t="s">
        <v>383</v>
      </c>
      <c r="B528" s="152"/>
      <c r="C528" s="12" t="s">
        <v>373</v>
      </c>
      <c r="D528" s="12" t="s">
        <v>374</v>
      </c>
      <c r="E528" s="12" t="s">
        <v>375</v>
      </c>
      <c r="F528" s="12" t="s">
        <v>376</v>
      </c>
      <c r="G528" s="12" t="s">
        <v>377</v>
      </c>
    </row>
    <row r="529" spans="1:7" ht="15" customHeight="1">
      <c r="A529" s="13" t="s">
        <v>596</v>
      </c>
      <c r="B529" s="14" t="s">
        <v>597</v>
      </c>
      <c r="C529" s="13" t="s">
        <v>380</v>
      </c>
      <c r="D529" s="13" t="s">
        <v>430</v>
      </c>
      <c r="E529" s="15">
        <v>2</v>
      </c>
      <c r="F529" s="16">
        <v>0.5</v>
      </c>
      <c r="G529" s="16">
        <v>1</v>
      </c>
    </row>
    <row r="530" spans="1:7" ht="15" customHeight="1">
      <c r="A530" s="13" t="s">
        <v>467</v>
      </c>
      <c r="B530" s="14" t="s">
        <v>468</v>
      </c>
      <c r="C530" s="13" t="s">
        <v>380</v>
      </c>
      <c r="D530" s="13" t="s">
        <v>395</v>
      </c>
      <c r="E530" s="15">
        <v>0.12</v>
      </c>
      <c r="F530" s="16">
        <v>11.26</v>
      </c>
      <c r="G530" s="16">
        <v>1.35</v>
      </c>
    </row>
    <row r="531" spans="1:7" ht="15" customHeight="1">
      <c r="A531" s="13" t="s">
        <v>598</v>
      </c>
      <c r="B531" s="14" t="s">
        <v>599</v>
      </c>
      <c r="C531" s="13" t="s">
        <v>380</v>
      </c>
      <c r="D531" s="13" t="s">
        <v>430</v>
      </c>
      <c r="E531" s="15">
        <v>0.25</v>
      </c>
      <c r="F531" s="16">
        <v>34.869999999999997</v>
      </c>
      <c r="G531" s="16">
        <v>8.7200000000000006</v>
      </c>
    </row>
    <row r="532" spans="1:7" ht="15" customHeight="1">
      <c r="A532" s="13" t="s">
        <v>600</v>
      </c>
      <c r="B532" s="14" t="s">
        <v>601</v>
      </c>
      <c r="C532" s="13" t="s">
        <v>380</v>
      </c>
      <c r="D532" s="13" t="s">
        <v>395</v>
      </c>
      <c r="E532" s="15">
        <v>0.18</v>
      </c>
      <c r="F532" s="16">
        <v>5.28</v>
      </c>
      <c r="G532" s="16">
        <v>0.95</v>
      </c>
    </row>
    <row r="533" spans="1:7" ht="15" customHeight="1">
      <c r="A533" s="13" t="s">
        <v>602</v>
      </c>
      <c r="B533" s="14" t="s">
        <v>603</v>
      </c>
      <c r="C533" s="13" t="s">
        <v>380</v>
      </c>
      <c r="D533" s="13" t="s">
        <v>430</v>
      </c>
      <c r="E533" s="15">
        <v>2</v>
      </c>
      <c r="F533" s="16">
        <v>1</v>
      </c>
      <c r="G533" s="16">
        <v>2</v>
      </c>
    </row>
    <row r="534" spans="1:7" ht="15" customHeight="1">
      <c r="A534" s="13" t="s">
        <v>604</v>
      </c>
      <c r="B534" s="14" t="s">
        <v>605</v>
      </c>
      <c r="C534" s="13" t="s">
        <v>380</v>
      </c>
      <c r="D534" s="13" t="s">
        <v>427</v>
      </c>
      <c r="E534" s="15">
        <v>0.02</v>
      </c>
      <c r="F534" s="16">
        <v>2160</v>
      </c>
      <c r="G534" s="16">
        <v>43.2</v>
      </c>
    </row>
    <row r="535" spans="1:7" ht="15" customHeight="1">
      <c r="A535" s="13" t="s">
        <v>606</v>
      </c>
      <c r="B535" s="14" t="s">
        <v>607</v>
      </c>
      <c r="C535" s="13" t="s">
        <v>380</v>
      </c>
      <c r="D535" s="13" t="s">
        <v>430</v>
      </c>
      <c r="E535" s="15">
        <v>0.57799999999999996</v>
      </c>
      <c r="F535" s="16">
        <v>52.9</v>
      </c>
      <c r="G535" s="16">
        <v>30.58</v>
      </c>
    </row>
    <row r="536" spans="1:7" ht="15" customHeight="1">
      <c r="A536" s="11"/>
      <c r="B536" s="11"/>
      <c r="C536" s="11"/>
      <c r="D536" s="11"/>
      <c r="E536" s="153" t="s">
        <v>396</v>
      </c>
      <c r="F536" s="154"/>
      <c r="G536" s="17">
        <v>87.8</v>
      </c>
    </row>
    <row r="537" spans="1:7" ht="15" customHeight="1">
      <c r="A537" s="11"/>
      <c r="B537" s="11"/>
      <c r="C537" s="11"/>
      <c r="D537" s="11"/>
      <c r="E537" s="147" t="s">
        <v>397</v>
      </c>
      <c r="F537" s="148"/>
      <c r="G537" s="18">
        <v>105.27</v>
      </c>
    </row>
    <row r="538" spans="1:7" ht="15" customHeight="1">
      <c r="A538" s="11"/>
      <c r="B538" s="11"/>
      <c r="C538" s="11"/>
      <c r="D538" s="11"/>
      <c r="E538" s="147" t="s">
        <v>398</v>
      </c>
      <c r="F538" s="148"/>
      <c r="G538" s="18">
        <v>14.88</v>
      </c>
    </row>
    <row r="539" spans="1:7" ht="15" customHeight="1">
      <c r="A539" s="11"/>
      <c r="B539" s="11"/>
      <c r="C539" s="11"/>
      <c r="D539" s="11"/>
      <c r="E539" s="147" t="s">
        <v>399</v>
      </c>
      <c r="F539" s="148"/>
      <c r="G539" s="18">
        <v>120.15</v>
      </c>
    </row>
    <row r="540" spans="1:7" ht="15" customHeight="1">
      <c r="A540" s="11"/>
      <c r="B540" s="11"/>
      <c r="C540" s="11"/>
      <c r="D540" s="11"/>
      <c r="E540" s="147" t="s">
        <v>400</v>
      </c>
      <c r="F540" s="148"/>
      <c r="G540" s="18">
        <v>29.1724</v>
      </c>
    </row>
    <row r="541" spans="1:7" ht="15" customHeight="1">
      <c r="A541" s="11"/>
      <c r="B541" s="11"/>
      <c r="C541" s="11"/>
      <c r="D541" s="11"/>
      <c r="E541" s="147" t="s">
        <v>401</v>
      </c>
      <c r="F541" s="148"/>
      <c r="G541" s="18">
        <v>149.32</v>
      </c>
    </row>
    <row r="542" spans="1:7" ht="9.9499999999999993" customHeight="1">
      <c r="A542" s="11"/>
      <c r="B542" s="11"/>
      <c r="C542" s="155" t="s">
        <v>370</v>
      </c>
      <c r="D542" s="156"/>
      <c r="E542" s="11"/>
      <c r="F542" s="11"/>
      <c r="G542" s="11"/>
    </row>
    <row r="543" spans="1:7" ht="20.100000000000001" customHeight="1">
      <c r="A543" s="149" t="s">
        <v>608</v>
      </c>
      <c r="B543" s="150"/>
      <c r="C543" s="150"/>
      <c r="D543" s="150"/>
      <c r="E543" s="150"/>
      <c r="F543" s="150"/>
      <c r="G543" s="150"/>
    </row>
    <row r="544" spans="1:7" ht="15" customHeight="1">
      <c r="A544" s="151" t="s">
        <v>372</v>
      </c>
      <c r="B544" s="152"/>
      <c r="C544" s="12" t="s">
        <v>373</v>
      </c>
      <c r="D544" s="12" t="s">
        <v>374</v>
      </c>
      <c r="E544" s="12" t="s">
        <v>375</v>
      </c>
      <c r="F544" s="12" t="s">
        <v>376</v>
      </c>
      <c r="G544" s="12" t="s">
        <v>377</v>
      </c>
    </row>
    <row r="545" spans="1:7" ht="15" customHeight="1">
      <c r="A545" s="13" t="s">
        <v>481</v>
      </c>
      <c r="B545" s="14" t="s">
        <v>439</v>
      </c>
      <c r="C545" s="13" t="s">
        <v>482</v>
      </c>
      <c r="D545" s="13" t="s">
        <v>381</v>
      </c>
      <c r="E545" s="15">
        <v>1.51</v>
      </c>
      <c r="F545" s="16">
        <v>6.6</v>
      </c>
      <c r="G545" s="16">
        <v>9.9700000000000006</v>
      </c>
    </row>
    <row r="546" spans="1:7" ht="15" customHeight="1">
      <c r="A546" s="13" t="s">
        <v>609</v>
      </c>
      <c r="B546" s="14" t="s">
        <v>610</v>
      </c>
      <c r="C546" s="13" t="s">
        <v>482</v>
      </c>
      <c r="D546" s="13" t="s">
        <v>381</v>
      </c>
      <c r="E546" s="15">
        <v>0.87</v>
      </c>
      <c r="F546" s="16">
        <v>6.6</v>
      </c>
      <c r="G546" s="16">
        <v>5.74</v>
      </c>
    </row>
    <row r="547" spans="1:7" ht="15" customHeight="1">
      <c r="A547" s="13" t="s">
        <v>611</v>
      </c>
      <c r="B547" s="14" t="s">
        <v>612</v>
      </c>
      <c r="C547" s="13" t="s">
        <v>482</v>
      </c>
      <c r="D547" s="13" t="s">
        <v>381</v>
      </c>
      <c r="E547" s="15">
        <v>0.3</v>
      </c>
      <c r="F547" s="16">
        <v>6.6</v>
      </c>
      <c r="G547" s="16">
        <v>1.98</v>
      </c>
    </row>
    <row r="548" spans="1:7" ht="15" customHeight="1">
      <c r="A548" s="13" t="s">
        <v>613</v>
      </c>
      <c r="B548" s="14" t="s">
        <v>462</v>
      </c>
      <c r="C548" s="13" t="s">
        <v>482</v>
      </c>
      <c r="D548" s="13" t="s">
        <v>381</v>
      </c>
      <c r="E548" s="15">
        <v>0.3</v>
      </c>
      <c r="F548" s="16">
        <v>4.9000000000000004</v>
      </c>
      <c r="G548" s="16">
        <v>1.47</v>
      </c>
    </row>
    <row r="549" spans="1:7" ht="15" customHeight="1">
      <c r="A549" s="13" t="s">
        <v>614</v>
      </c>
      <c r="B549" s="14" t="s">
        <v>615</v>
      </c>
      <c r="C549" s="13" t="s">
        <v>482</v>
      </c>
      <c r="D549" s="13" t="s">
        <v>381</v>
      </c>
      <c r="E549" s="15">
        <v>0.87</v>
      </c>
      <c r="F549" s="16">
        <v>4.9000000000000004</v>
      </c>
      <c r="G549" s="16">
        <v>4.26</v>
      </c>
    </row>
    <row r="550" spans="1:7" ht="15" customHeight="1">
      <c r="A550" s="13" t="s">
        <v>485</v>
      </c>
      <c r="B550" s="14" t="s">
        <v>379</v>
      </c>
      <c r="C550" s="13" t="s">
        <v>482</v>
      </c>
      <c r="D550" s="13" t="s">
        <v>381</v>
      </c>
      <c r="E550" s="15">
        <v>2.02</v>
      </c>
      <c r="F550" s="16">
        <v>4.3499999999999996</v>
      </c>
      <c r="G550" s="16">
        <v>8.7899999999999991</v>
      </c>
    </row>
    <row r="551" spans="1:7" ht="15" customHeight="1">
      <c r="A551" s="11"/>
      <c r="B551" s="11"/>
      <c r="C551" s="11"/>
      <c r="D551" s="11"/>
      <c r="E551" s="153" t="s">
        <v>382</v>
      </c>
      <c r="F551" s="154"/>
      <c r="G551" s="17">
        <v>32.21</v>
      </c>
    </row>
    <row r="552" spans="1:7" ht="15" customHeight="1">
      <c r="A552" s="151" t="s">
        <v>383</v>
      </c>
      <c r="B552" s="152"/>
      <c r="C552" s="12" t="s">
        <v>373</v>
      </c>
      <c r="D552" s="12" t="s">
        <v>374</v>
      </c>
      <c r="E552" s="12" t="s">
        <v>375</v>
      </c>
      <c r="F552" s="12" t="s">
        <v>376</v>
      </c>
      <c r="G552" s="12" t="s">
        <v>377</v>
      </c>
    </row>
    <row r="553" spans="1:7" ht="15" customHeight="1">
      <c r="A553" s="13" t="s">
        <v>616</v>
      </c>
      <c r="B553" s="14" t="s">
        <v>617</v>
      </c>
      <c r="C553" s="13" t="s">
        <v>482</v>
      </c>
      <c r="D553" s="13" t="s">
        <v>395</v>
      </c>
      <c r="E553" s="15">
        <v>44.78</v>
      </c>
      <c r="F553" s="16">
        <v>0.44</v>
      </c>
      <c r="G553" s="16">
        <v>19.7</v>
      </c>
    </row>
    <row r="554" spans="1:7" ht="15" customHeight="1">
      <c r="A554" s="13" t="s">
        <v>618</v>
      </c>
      <c r="B554" s="14" t="s">
        <v>619</v>
      </c>
      <c r="C554" s="13" t="s">
        <v>482</v>
      </c>
      <c r="D554" s="13" t="s">
        <v>427</v>
      </c>
      <c r="E554" s="15">
        <v>0.1</v>
      </c>
      <c r="F554" s="16">
        <v>71.5</v>
      </c>
      <c r="G554" s="16">
        <v>7.15</v>
      </c>
    </row>
    <row r="555" spans="1:7" ht="15" customHeight="1">
      <c r="A555" s="13" t="s">
        <v>620</v>
      </c>
      <c r="B555" s="14" t="s">
        <v>621</v>
      </c>
      <c r="C555" s="13" t="s">
        <v>482</v>
      </c>
      <c r="D555" s="13" t="s">
        <v>427</v>
      </c>
      <c r="E555" s="15">
        <v>0.115</v>
      </c>
      <c r="F555" s="16">
        <v>55</v>
      </c>
      <c r="G555" s="16">
        <v>6.33</v>
      </c>
    </row>
    <row r="556" spans="1:7" ht="15" customHeight="1">
      <c r="A556" s="13" t="s">
        <v>622</v>
      </c>
      <c r="B556" s="14" t="s">
        <v>623</v>
      </c>
      <c r="C556" s="13" t="s">
        <v>482</v>
      </c>
      <c r="D556" s="13" t="s">
        <v>395</v>
      </c>
      <c r="E556" s="15">
        <v>6.0000000000000001E-3</v>
      </c>
      <c r="F556" s="16">
        <v>10.98</v>
      </c>
      <c r="G556" s="16">
        <v>7.0000000000000007E-2</v>
      </c>
    </row>
    <row r="557" spans="1:7" ht="15" customHeight="1">
      <c r="A557" s="13" t="s">
        <v>624</v>
      </c>
      <c r="B557" s="14" t="s">
        <v>625</v>
      </c>
      <c r="C557" s="13" t="s">
        <v>482</v>
      </c>
      <c r="D557" s="13" t="s">
        <v>395</v>
      </c>
      <c r="E557" s="15">
        <v>8.7439999999999998</v>
      </c>
      <c r="F557" s="16">
        <v>4.7300000000000004</v>
      </c>
      <c r="G557" s="16">
        <v>41.36</v>
      </c>
    </row>
    <row r="558" spans="1:7" ht="15" customHeight="1">
      <c r="A558" s="13" t="s">
        <v>626</v>
      </c>
      <c r="B558" s="14" t="s">
        <v>627</v>
      </c>
      <c r="C558" s="13" t="s">
        <v>482</v>
      </c>
      <c r="D558" s="13" t="s">
        <v>392</v>
      </c>
      <c r="E558" s="15">
        <v>4.26</v>
      </c>
      <c r="F558" s="16">
        <v>8</v>
      </c>
      <c r="G558" s="16">
        <v>34.08</v>
      </c>
    </row>
    <row r="559" spans="1:7" ht="15" customHeight="1">
      <c r="A559" s="13" t="s">
        <v>628</v>
      </c>
      <c r="B559" s="14" t="s">
        <v>629</v>
      </c>
      <c r="C559" s="13" t="s">
        <v>482</v>
      </c>
      <c r="D559" s="13" t="s">
        <v>392</v>
      </c>
      <c r="E559" s="15">
        <v>0.17599999999999999</v>
      </c>
      <c r="F559" s="16">
        <v>6</v>
      </c>
      <c r="G559" s="16">
        <v>1.06</v>
      </c>
    </row>
    <row r="560" spans="1:7" ht="15" customHeight="1">
      <c r="A560" s="13" t="s">
        <v>630</v>
      </c>
      <c r="B560" s="14" t="s">
        <v>631</v>
      </c>
      <c r="C560" s="13" t="s">
        <v>482</v>
      </c>
      <c r="D560" s="13" t="s">
        <v>392</v>
      </c>
      <c r="E560" s="15">
        <v>3.22</v>
      </c>
      <c r="F560" s="16">
        <v>0.4</v>
      </c>
      <c r="G560" s="16">
        <v>1.29</v>
      </c>
    </row>
    <row r="561" spans="1:7" ht="15" customHeight="1">
      <c r="A561" s="13" t="s">
        <v>632</v>
      </c>
      <c r="B561" s="14" t="s">
        <v>633</v>
      </c>
      <c r="C561" s="13" t="s">
        <v>482</v>
      </c>
      <c r="D561" s="13" t="s">
        <v>395</v>
      </c>
      <c r="E561" s="15">
        <v>0.02</v>
      </c>
      <c r="F561" s="16">
        <v>11</v>
      </c>
      <c r="G561" s="16">
        <v>0.22</v>
      </c>
    </row>
    <row r="562" spans="1:7" ht="15" customHeight="1">
      <c r="A562" s="11"/>
      <c r="B562" s="11"/>
      <c r="C562" s="11"/>
      <c r="D562" s="11"/>
      <c r="E562" s="153" t="s">
        <v>396</v>
      </c>
      <c r="F562" s="154"/>
      <c r="G562" s="17">
        <v>111.26</v>
      </c>
    </row>
    <row r="563" spans="1:7" ht="15" customHeight="1">
      <c r="A563" s="11"/>
      <c r="B563" s="11"/>
      <c r="C563" s="11"/>
      <c r="D563" s="11"/>
      <c r="E563" s="147" t="s">
        <v>397</v>
      </c>
      <c r="F563" s="148"/>
      <c r="G563" s="18">
        <v>143.47</v>
      </c>
    </row>
    <row r="564" spans="1:7" ht="15" customHeight="1">
      <c r="A564" s="11"/>
      <c r="B564" s="11"/>
      <c r="C564" s="11"/>
      <c r="D564" s="11"/>
      <c r="E564" s="147" t="s">
        <v>492</v>
      </c>
      <c r="F564" s="148"/>
      <c r="G564" s="18">
        <v>38.07</v>
      </c>
    </row>
    <row r="565" spans="1:7" ht="15" customHeight="1">
      <c r="A565" s="11"/>
      <c r="B565" s="11"/>
      <c r="C565" s="11"/>
      <c r="D565" s="11"/>
      <c r="E565" s="147" t="s">
        <v>399</v>
      </c>
      <c r="F565" s="148"/>
      <c r="G565" s="18">
        <v>181.54</v>
      </c>
    </row>
    <row r="566" spans="1:7" ht="15" customHeight="1">
      <c r="A566" s="11"/>
      <c r="B566" s="11"/>
      <c r="C566" s="11"/>
      <c r="D566" s="11"/>
      <c r="E566" s="147" t="s">
        <v>400</v>
      </c>
      <c r="F566" s="148"/>
      <c r="G566" s="18">
        <v>44.0779</v>
      </c>
    </row>
    <row r="567" spans="1:7" ht="15" customHeight="1">
      <c r="A567" s="11"/>
      <c r="B567" s="11"/>
      <c r="C567" s="11"/>
      <c r="D567" s="11"/>
      <c r="E567" s="147" t="s">
        <v>401</v>
      </c>
      <c r="F567" s="148"/>
      <c r="G567" s="18">
        <v>225.62</v>
      </c>
    </row>
    <row r="568" spans="1:7" ht="9.9499999999999993" customHeight="1">
      <c r="A568" s="11"/>
      <c r="B568" s="11"/>
      <c r="C568" s="155" t="s">
        <v>370</v>
      </c>
      <c r="D568" s="156"/>
      <c r="E568" s="11"/>
      <c r="F568" s="11"/>
      <c r="G568" s="11"/>
    </row>
    <row r="569" spans="1:7" ht="20.100000000000001" customHeight="1">
      <c r="A569" s="149" t="s">
        <v>634</v>
      </c>
      <c r="B569" s="150"/>
      <c r="C569" s="150"/>
      <c r="D569" s="150"/>
      <c r="E569" s="150"/>
      <c r="F569" s="150"/>
      <c r="G569" s="150"/>
    </row>
    <row r="570" spans="1:7" ht="15" customHeight="1">
      <c r="A570" s="151" t="s">
        <v>372</v>
      </c>
      <c r="B570" s="152"/>
      <c r="C570" s="12" t="s">
        <v>373</v>
      </c>
      <c r="D570" s="12" t="s">
        <v>374</v>
      </c>
      <c r="E570" s="12" t="s">
        <v>375</v>
      </c>
      <c r="F570" s="12" t="s">
        <v>376</v>
      </c>
      <c r="G570" s="12" t="s">
        <v>377</v>
      </c>
    </row>
    <row r="571" spans="1:7" ht="15" customHeight="1">
      <c r="A571" s="13" t="s">
        <v>481</v>
      </c>
      <c r="B571" s="14" t="s">
        <v>439</v>
      </c>
      <c r="C571" s="13" t="s">
        <v>482</v>
      </c>
      <c r="D571" s="13" t="s">
        <v>381</v>
      </c>
      <c r="E571" s="15">
        <v>0.88700000000000001</v>
      </c>
      <c r="F571" s="16">
        <v>6.6</v>
      </c>
      <c r="G571" s="16">
        <v>5.85</v>
      </c>
    </row>
    <row r="572" spans="1:7" ht="15" customHeight="1">
      <c r="A572" s="13" t="s">
        <v>485</v>
      </c>
      <c r="B572" s="14" t="s">
        <v>379</v>
      </c>
      <c r="C572" s="13" t="s">
        <v>482</v>
      </c>
      <c r="D572" s="13" t="s">
        <v>381</v>
      </c>
      <c r="E572" s="15">
        <v>1.1339999999999999</v>
      </c>
      <c r="F572" s="16">
        <v>4.3499999999999996</v>
      </c>
      <c r="G572" s="16">
        <v>4.93</v>
      </c>
    </row>
    <row r="573" spans="1:7" ht="15" customHeight="1">
      <c r="A573" s="11"/>
      <c r="B573" s="11"/>
      <c r="C573" s="11"/>
      <c r="D573" s="11"/>
      <c r="E573" s="153" t="s">
        <v>382</v>
      </c>
      <c r="F573" s="154"/>
      <c r="G573" s="17">
        <v>10.78</v>
      </c>
    </row>
    <row r="574" spans="1:7" ht="15" customHeight="1">
      <c r="A574" s="151" t="s">
        <v>383</v>
      </c>
      <c r="B574" s="152"/>
      <c r="C574" s="12" t="s">
        <v>373</v>
      </c>
      <c r="D574" s="12" t="s">
        <v>374</v>
      </c>
      <c r="E574" s="12" t="s">
        <v>375</v>
      </c>
      <c r="F574" s="12" t="s">
        <v>376</v>
      </c>
      <c r="G574" s="12" t="s">
        <v>377</v>
      </c>
    </row>
    <row r="575" spans="1:7" ht="15" customHeight="1">
      <c r="A575" s="13" t="s">
        <v>616</v>
      </c>
      <c r="B575" s="14" t="s">
        <v>617</v>
      </c>
      <c r="C575" s="13" t="s">
        <v>482</v>
      </c>
      <c r="D575" s="13" t="s">
        <v>395</v>
      </c>
      <c r="E575" s="15">
        <v>1.5649999999999999</v>
      </c>
      <c r="F575" s="16">
        <v>0.44</v>
      </c>
      <c r="G575" s="16">
        <v>0.69</v>
      </c>
    </row>
    <row r="576" spans="1:7" ht="15" customHeight="1">
      <c r="A576" s="13" t="s">
        <v>486</v>
      </c>
      <c r="B576" s="14" t="s">
        <v>487</v>
      </c>
      <c r="C576" s="13" t="s">
        <v>482</v>
      </c>
      <c r="D576" s="13" t="s">
        <v>427</v>
      </c>
      <c r="E576" s="15">
        <v>1.7999999999999999E-2</v>
      </c>
      <c r="F576" s="16">
        <v>53.6</v>
      </c>
      <c r="G576" s="16">
        <v>0.96</v>
      </c>
    </row>
    <row r="577" spans="1:7" ht="15" customHeight="1">
      <c r="A577" s="11"/>
      <c r="B577" s="11"/>
      <c r="C577" s="11"/>
      <c r="D577" s="11"/>
      <c r="E577" s="153" t="s">
        <v>396</v>
      </c>
      <c r="F577" s="154"/>
      <c r="G577" s="17">
        <v>1.65</v>
      </c>
    </row>
    <row r="578" spans="1:7" ht="15" customHeight="1">
      <c r="A578" s="11"/>
      <c r="B578" s="11"/>
      <c r="C578" s="11"/>
      <c r="D578" s="11"/>
      <c r="E578" s="147" t="s">
        <v>397</v>
      </c>
      <c r="F578" s="148"/>
      <c r="G578" s="18">
        <v>12.43</v>
      </c>
    </row>
    <row r="579" spans="1:7" ht="15" customHeight="1">
      <c r="A579" s="11"/>
      <c r="B579" s="11"/>
      <c r="C579" s="11"/>
      <c r="D579" s="11"/>
      <c r="E579" s="147" t="s">
        <v>492</v>
      </c>
      <c r="F579" s="148"/>
      <c r="G579" s="18">
        <v>12.74</v>
      </c>
    </row>
    <row r="580" spans="1:7" ht="15" customHeight="1">
      <c r="A580" s="11"/>
      <c r="B580" s="11"/>
      <c r="C580" s="11"/>
      <c r="D580" s="11"/>
      <c r="E580" s="147" t="s">
        <v>399</v>
      </c>
      <c r="F580" s="148"/>
      <c r="G580" s="18">
        <v>25.17</v>
      </c>
    </row>
    <row r="581" spans="1:7" ht="15" customHeight="1">
      <c r="A581" s="11"/>
      <c r="B581" s="11"/>
      <c r="C581" s="11"/>
      <c r="D581" s="11"/>
      <c r="E581" s="147" t="s">
        <v>400</v>
      </c>
      <c r="F581" s="148"/>
      <c r="G581" s="18">
        <v>6.1113</v>
      </c>
    </row>
    <row r="582" spans="1:7" ht="15" customHeight="1">
      <c r="A582" s="11"/>
      <c r="B582" s="11"/>
      <c r="C582" s="11"/>
      <c r="D582" s="11"/>
      <c r="E582" s="147" t="s">
        <v>401</v>
      </c>
      <c r="F582" s="148"/>
      <c r="G582" s="18">
        <v>31.28</v>
      </c>
    </row>
    <row r="583" spans="1:7" ht="9.9499999999999993" customHeight="1">
      <c r="A583" s="11"/>
      <c r="B583" s="11"/>
      <c r="C583" s="155" t="s">
        <v>370</v>
      </c>
      <c r="D583" s="156"/>
      <c r="E583" s="11"/>
      <c r="F583" s="11"/>
      <c r="G583" s="11"/>
    </row>
    <row r="584" spans="1:7" ht="20.100000000000001" customHeight="1">
      <c r="A584" s="149" t="s">
        <v>635</v>
      </c>
      <c r="B584" s="150"/>
      <c r="C584" s="150"/>
      <c r="D584" s="150"/>
      <c r="E584" s="150"/>
      <c r="F584" s="150"/>
      <c r="G584" s="150"/>
    </row>
    <row r="585" spans="1:7" ht="9.9499999999999993" customHeight="1">
      <c r="A585" s="158"/>
      <c r="B585" s="158"/>
      <c r="C585" s="158"/>
      <c r="D585" s="158"/>
      <c r="E585" s="158"/>
      <c r="F585" s="158"/>
      <c r="G585" s="158"/>
    </row>
    <row r="586" spans="1:7" ht="15" customHeight="1">
      <c r="A586" s="11"/>
      <c r="B586" s="11"/>
      <c r="C586" s="11"/>
      <c r="D586" s="11"/>
      <c r="E586" s="147" t="s">
        <v>397</v>
      </c>
      <c r="F586" s="148"/>
      <c r="G586" s="18">
        <v>17</v>
      </c>
    </row>
    <row r="587" spans="1:7" ht="15" customHeight="1">
      <c r="A587" s="11"/>
      <c r="B587" s="11"/>
      <c r="C587" s="11"/>
      <c r="D587" s="11"/>
      <c r="E587" s="147" t="s">
        <v>545</v>
      </c>
      <c r="F587" s="148"/>
      <c r="G587" s="18">
        <v>0</v>
      </c>
    </row>
    <row r="588" spans="1:7" ht="15" customHeight="1">
      <c r="A588" s="11"/>
      <c r="B588" s="11"/>
      <c r="C588" s="11"/>
      <c r="D588" s="11"/>
      <c r="E588" s="147" t="s">
        <v>399</v>
      </c>
      <c r="F588" s="148"/>
      <c r="G588" s="18">
        <v>17</v>
      </c>
    </row>
    <row r="589" spans="1:7" ht="15" customHeight="1">
      <c r="A589" s="11"/>
      <c r="B589" s="11"/>
      <c r="C589" s="11"/>
      <c r="D589" s="11"/>
      <c r="E589" s="147" t="s">
        <v>400</v>
      </c>
      <c r="F589" s="148"/>
      <c r="G589" s="18">
        <v>4.1276000000000002</v>
      </c>
    </row>
    <row r="590" spans="1:7" ht="15" customHeight="1">
      <c r="A590" s="11"/>
      <c r="B590" s="11"/>
      <c r="C590" s="11"/>
      <c r="D590" s="11"/>
      <c r="E590" s="147" t="s">
        <v>401</v>
      </c>
      <c r="F590" s="148"/>
      <c r="G590" s="18">
        <v>21.13</v>
      </c>
    </row>
    <row r="591" spans="1:7" ht="9.9499999999999993" customHeight="1">
      <c r="A591" s="11"/>
      <c r="B591" s="11"/>
      <c r="C591" s="155" t="s">
        <v>370</v>
      </c>
      <c r="D591" s="156"/>
      <c r="E591" s="11"/>
      <c r="F591" s="11"/>
      <c r="G591" s="11"/>
    </row>
    <row r="592" spans="1:7" ht="20.100000000000001" customHeight="1">
      <c r="A592" s="149" t="s">
        <v>636</v>
      </c>
      <c r="B592" s="150"/>
      <c r="C592" s="150"/>
      <c r="D592" s="150"/>
      <c r="E592" s="150"/>
      <c r="F592" s="150"/>
      <c r="G592" s="150"/>
    </row>
    <row r="593" spans="1:7" ht="15" customHeight="1">
      <c r="A593" s="151" t="s">
        <v>383</v>
      </c>
      <c r="B593" s="152"/>
      <c r="C593" s="12" t="s">
        <v>373</v>
      </c>
      <c r="D593" s="12" t="s">
        <v>374</v>
      </c>
      <c r="E593" s="12" t="s">
        <v>375</v>
      </c>
      <c r="F593" s="12" t="s">
        <v>376</v>
      </c>
      <c r="G593" s="12" t="s">
        <v>377</v>
      </c>
    </row>
    <row r="594" spans="1:7" ht="20.100000000000001" customHeight="1">
      <c r="A594" s="13" t="s">
        <v>637</v>
      </c>
      <c r="B594" s="14" t="s">
        <v>638</v>
      </c>
      <c r="C594" s="13" t="s">
        <v>405</v>
      </c>
      <c r="D594" s="13" t="s">
        <v>430</v>
      </c>
      <c r="E594" s="15">
        <v>1</v>
      </c>
      <c r="F594" s="16">
        <v>0.33</v>
      </c>
      <c r="G594" s="16">
        <v>0.33</v>
      </c>
    </row>
    <row r="595" spans="1:7" ht="15" customHeight="1">
      <c r="A595" s="13" t="s">
        <v>639</v>
      </c>
      <c r="B595" s="14" t="s">
        <v>640</v>
      </c>
      <c r="C595" s="13" t="s">
        <v>405</v>
      </c>
      <c r="D595" s="13" t="s">
        <v>389</v>
      </c>
      <c r="E595" s="15">
        <v>0.05</v>
      </c>
      <c r="F595" s="16">
        <v>12.11</v>
      </c>
      <c r="G595" s="16">
        <v>0.61</v>
      </c>
    </row>
    <row r="596" spans="1:7" ht="20.100000000000001" customHeight="1">
      <c r="A596" s="13" t="s">
        <v>641</v>
      </c>
      <c r="B596" s="14" t="s">
        <v>642</v>
      </c>
      <c r="C596" s="13" t="s">
        <v>405</v>
      </c>
      <c r="D596" s="13" t="s">
        <v>389</v>
      </c>
      <c r="E596" s="15">
        <v>7.4999999999999997E-2</v>
      </c>
      <c r="F596" s="16">
        <v>25.56</v>
      </c>
      <c r="G596" s="16">
        <v>1.92</v>
      </c>
    </row>
    <row r="597" spans="1:7" ht="15" customHeight="1">
      <c r="A597" s="11"/>
      <c r="B597" s="11"/>
      <c r="C597" s="11"/>
      <c r="D597" s="11"/>
      <c r="E597" s="153" t="s">
        <v>396</v>
      </c>
      <c r="F597" s="154"/>
      <c r="G597" s="17">
        <v>2.86</v>
      </c>
    </row>
    <row r="598" spans="1:7" ht="15" customHeight="1">
      <c r="A598" s="151" t="s">
        <v>414</v>
      </c>
      <c r="B598" s="152"/>
      <c r="C598" s="12" t="s">
        <v>373</v>
      </c>
      <c r="D598" s="12" t="s">
        <v>374</v>
      </c>
      <c r="E598" s="12" t="s">
        <v>375</v>
      </c>
      <c r="F598" s="12" t="s">
        <v>376</v>
      </c>
      <c r="G598" s="12" t="s">
        <v>377</v>
      </c>
    </row>
    <row r="599" spans="1:7" ht="15" customHeight="1">
      <c r="A599" s="13" t="s">
        <v>643</v>
      </c>
      <c r="B599" s="14" t="s">
        <v>644</v>
      </c>
      <c r="C599" s="13" t="s">
        <v>405</v>
      </c>
      <c r="D599" s="13" t="s">
        <v>381</v>
      </c>
      <c r="E599" s="15">
        <v>0.4</v>
      </c>
      <c r="F599" s="16">
        <v>11.7</v>
      </c>
      <c r="G599" s="16">
        <v>4.68</v>
      </c>
    </row>
    <row r="600" spans="1:7" ht="15" customHeight="1">
      <c r="A600" s="13" t="s">
        <v>435</v>
      </c>
      <c r="B600" s="14" t="s">
        <v>436</v>
      </c>
      <c r="C600" s="13" t="s">
        <v>405</v>
      </c>
      <c r="D600" s="13" t="s">
        <v>381</v>
      </c>
      <c r="E600" s="15">
        <v>0.3</v>
      </c>
      <c r="F600" s="16">
        <v>9.6300000000000008</v>
      </c>
      <c r="G600" s="16">
        <v>2.89</v>
      </c>
    </row>
    <row r="601" spans="1:7" ht="15" customHeight="1">
      <c r="A601" s="11"/>
      <c r="B601" s="11"/>
      <c r="C601" s="11"/>
      <c r="D601" s="11"/>
      <c r="E601" s="153" t="s">
        <v>431</v>
      </c>
      <c r="F601" s="154"/>
      <c r="G601" s="17">
        <v>7.57</v>
      </c>
    </row>
    <row r="602" spans="1:7" ht="15" customHeight="1">
      <c r="A602" s="11"/>
      <c r="B602" s="11"/>
      <c r="C602" s="11"/>
      <c r="D602" s="11"/>
      <c r="E602" s="147" t="s">
        <v>397</v>
      </c>
      <c r="F602" s="148"/>
      <c r="G602" s="18">
        <v>10.43</v>
      </c>
    </row>
    <row r="603" spans="1:7" ht="15" customHeight="1">
      <c r="A603" s="11"/>
      <c r="B603" s="11"/>
      <c r="C603" s="11"/>
      <c r="D603" s="11"/>
      <c r="E603" s="147" t="s">
        <v>398</v>
      </c>
      <c r="F603" s="148"/>
      <c r="G603" s="18">
        <v>3.36</v>
      </c>
    </row>
    <row r="604" spans="1:7" ht="15" customHeight="1">
      <c r="A604" s="11"/>
      <c r="B604" s="11"/>
      <c r="C604" s="11"/>
      <c r="D604" s="11"/>
      <c r="E604" s="147" t="s">
        <v>399</v>
      </c>
      <c r="F604" s="148"/>
      <c r="G604" s="18">
        <v>13.79</v>
      </c>
    </row>
    <row r="605" spans="1:7" ht="15" customHeight="1">
      <c r="A605" s="11"/>
      <c r="B605" s="11"/>
      <c r="C605" s="11"/>
      <c r="D605" s="11"/>
      <c r="E605" s="147" t="s">
        <v>400</v>
      </c>
      <c r="F605" s="148"/>
      <c r="G605" s="18">
        <v>3.3481999999999998</v>
      </c>
    </row>
    <row r="606" spans="1:7" ht="15" customHeight="1">
      <c r="A606" s="11"/>
      <c r="B606" s="11"/>
      <c r="C606" s="11"/>
      <c r="D606" s="11"/>
      <c r="E606" s="147" t="s">
        <v>401</v>
      </c>
      <c r="F606" s="148"/>
      <c r="G606" s="18">
        <v>17.14</v>
      </c>
    </row>
    <row r="607" spans="1:7" ht="9.9499999999999993" customHeight="1">
      <c r="A607" s="11"/>
      <c r="B607" s="11"/>
      <c r="C607" s="155" t="s">
        <v>370</v>
      </c>
      <c r="D607" s="156"/>
      <c r="E607" s="11"/>
      <c r="F607" s="11"/>
      <c r="G607" s="11"/>
    </row>
    <row r="608" spans="1:7" ht="20.100000000000001" customHeight="1">
      <c r="A608" s="149" t="s">
        <v>645</v>
      </c>
      <c r="B608" s="150"/>
      <c r="C608" s="150"/>
      <c r="D608" s="150"/>
      <c r="E608" s="150"/>
      <c r="F608" s="150"/>
      <c r="G608" s="150"/>
    </row>
    <row r="609" spans="1:7" ht="15" customHeight="1">
      <c r="A609" s="151" t="s">
        <v>414</v>
      </c>
      <c r="B609" s="152"/>
      <c r="C609" s="12" t="s">
        <v>373</v>
      </c>
      <c r="D609" s="12" t="s">
        <v>374</v>
      </c>
      <c r="E609" s="12" t="s">
        <v>375</v>
      </c>
      <c r="F609" s="12" t="s">
        <v>376</v>
      </c>
      <c r="G609" s="12" t="s">
        <v>377</v>
      </c>
    </row>
    <row r="610" spans="1:7" ht="27.95" customHeight="1">
      <c r="A610" s="13" t="s">
        <v>646</v>
      </c>
      <c r="B610" s="14" t="s">
        <v>647</v>
      </c>
      <c r="C610" s="13" t="s">
        <v>405</v>
      </c>
      <c r="D610" s="13" t="s">
        <v>427</v>
      </c>
      <c r="E610" s="15">
        <v>4.1999999999999997E-3</v>
      </c>
      <c r="F610" s="16">
        <v>302.85000000000002</v>
      </c>
      <c r="G610" s="16">
        <v>1.27</v>
      </c>
    </row>
    <row r="611" spans="1:7" ht="15" customHeight="1">
      <c r="A611" s="13" t="s">
        <v>433</v>
      </c>
      <c r="B611" s="14" t="s">
        <v>434</v>
      </c>
      <c r="C611" s="13" t="s">
        <v>405</v>
      </c>
      <c r="D611" s="13" t="s">
        <v>381</v>
      </c>
      <c r="E611" s="15">
        <v>7.0000000000000007E-2</v>
      </c>
      <c r="F611" s="16">
        <v>11.73</v>
      </c>
      <c r="G611" s="16">
        <v>0.82</v>
      </c>
    </row>
    <row r="612" spans="1:7" ht="15" customHeight="1">
      <c r="A612" s="13" t="s">
        <v>435</v>
      </c>
      <c r="B612" s="14" t="s">
        <v>436</v>
      </c>
      <c r="C612" s="13" t="s">
        <v>405</v>
      </c>
      <c r="D612" s="13" t="s">
        <v>381</v>
      </c>
      <c r="E612" s="15">
        <v>7.0000000000000001E-3</v>
      </c>
      <c r="F612" s="16">
        <v>9.6300000000000008</v>
      </c>
      <c r="G612" s="16">
        <v>7.0000000000000007E-2</v>
      </c>
    </row>
    <row r="613" spans="1:7" ht="15" customHeight="1">
      <c r="A613" s="11"/>
      <c r="B613" s="11"/>
      <c r="C613" s="11"/>
      <c r="D613" s="11"/>
      <c r="E613" s="153" t="s">
        <v>431</v>
      </c>
      <c r="F613" s="154"/>
      <c r="G613" s="17">
        <v>2.16</v>
      </c>
    </row>
    <row r="614" spans="1:7" ht="15" customHeight="1">
      <c r="A614" s="11"/>
      <c r="B614" s="11"/>
      <c r="C614" s="11"/>
      <c r="D614" s="11"/>
      <c r="E614" s="147" t="s">
        <v>397</v>
      </c>
      <c r="F614" s="148"/>
      <c r="G614" s="18">
        <v>2.16</v>
      </c>
    </row>
    <row r="615" spans="1:7" ht="15" customHeight="1">
      <c r="A615" s="11"/>
      <c r="B615" s="11"/>
      <c r="C615" s="11"/>
      <c r="D615" s="11"/>
      <c r="E615" s="147" t="s">
        <v>398</v>
      </c>
      <c r="F615" s="148"/>
      <c r="G615" s="18">
        <v>0.51</v>
      </c>
    </row>
    <row r="616" spans="1:7" ht="15" customHeight="1">
      <c r="A616" s="11"/>
      <c r="B616" s="11"/>
      <c r="C616" s="11"/>
      <c r="D616" s="11"/>
      <c r="E616" s="147" t="s">
        <v>399</v>
      </c>
      <c r="F616" s="148"/>
      <c r="G616" s="18">
        <v>2.67</v>
      </c>
    </row>
    <row r="617" spans="1:7" ht="15" customHeight="1">
      <c r="A617" s="11"/>
      <c r="B617" s="11"/>
      <c r="C617" s="11"/>
      <c r="D617" s="11"/>
      <c r="E617" s="147" t="s">
        <v>400</v>
      </c>
      <c r="F617" s="148"/>
      <c r="G617" s="18">
        <v>0.64829999999999999</v>
      </c>
    </row>
    <row r="618" spans="1:7" ht="15" customHeight="1">
      <c r="A618" s="11"/>
      <c r="B618" s="11"/>
      <c r="C618" s="11"/>
      <c r="D618" s="11"/>
      <c r="E618" s="147" t="s">
        <v>401</v>
      </c>
      <c r="F618" s="148"/>
      <c r="G618" s="18">
        <v>3.32</v>
      </c>
    </row>
    <row r="619" spans="1:7" ht="9.9499999999999993" customHeight="1">
      <c r="A619" s="11"/>
      <c r="B619" s="11"/>
      <c r="C619" s="155" t="s">
        <v>370</v>
      </c>
      <c r="D619" s="156"/>
      <c r="E619" s="11"/>
      <c r="F619" s="11"/>
      <c r="G619" s="11"/>
    </row>
    <row r="620" spans="1:7" ht="27" customHeight="1">
      <c r="A620" s="149" t="s">
        <v>648</v>
      </c>
      <c r="B620" s="150"/>
      <c r="C620" s="150"/>
      <c r="D620" s="150"/>
      <c r="E620" s="150"/>
      <c r="F620" s="150"/>
      <c r="G620" s="150"/>
    </row>
    <row r="621" spans="1:7" ht="15" customHeight="1">
      <c r="A621" s="151" t="s">
        <v>414</v>
      </c>
      <c r="B621" s="152"/>
      <c r="C621" s="12" t="s">
        <v>373</v>
      </c>
      <c r="D621" s="12" t="s">
        <v>374</v>
      </c>
      <c r="E621" s="12" t="s">
        <v>375</v>
      </c>
      <c r="F621" s="12" t="s">
        <v>376</v>
      </c>
      <c r="G621" s="12" t="s">
        <v>377</v>
      </c>
    </row>
    <row r="622" spans="1:7" ht="20.100000000000001" customHeight="1">
      <c r="A622" s="13" t="s">
        <v>649</v>
      </c>
      <c r="B622" s="14" t="s">
        <v>650</v>
      </c>
      <c r="C622" s="13" t="s">
        <v>405</v>
      </c>
      <c r="D622" s="13" t="s">
        <v>427</v>
      </c>
      <c r="E622" s="15">
        <v>1.1299999999999999E-2</v>
      </c>
      <c r="F622" s="16">
        <v>943.21</v>
      </c>
      <c r="G622" s="16">
        <v>10.66</v>
      </c>
    </row>
    <row r="623" spans="1:7" ht="15" customHeight="1">
      <c r="A623" s="13" t="s">
        <v>433</v>
      </c>
      <c r="B623" s="14" t="s">
        <v>434</v>
      </c>
      <c r="C623" s="13" t="s">
        <v>405</v>
      </c>
      <c r="D623" s="13" t="s">
        <v>381</v>
      </c>
      <c r="E623" s="15">
        <v>0.2</v>
      </c>
      <c r="F623" s="16">
        <v>11.73</v>
      </c>
      <c r="G623" s="16">
        <v>2.35</v>
      </c>
    </row>
    <row r="624" spans="1:7" ht="15" customHeight="1">
      <c r="A624" s="13" t="s">
        <v>435</v>
      </c>
      <c r="B624" s="14" t="s">
        <v>436</v>
      </c>
      <c r="C624" s="13" t="s">
        <v>405</v>
      </c>
      <c r="D624" s="13" t="s">
        <v>381</v>
      </c>
      <c r="E624" s="15">
        <v>2.5000000000000001E-2</v>
      </c>
      <c r="F624" s="16">
        <v>9.6300000000000008</v>
      </c>
      <c r="G624" s="16">
        <v>0.24</v>
      </c>
    </row>
    <row r="625" spans="1:7" ht="15" customHeight="1">
      <c r="A625" s="11"/>
      <c r="B625" s="11"/>
      <c r="C625" s="11"/>
      <c r="D625" s="11"/>
      <c r="E625" s="153" t="s">
        <v>431</v>
      </c>
      <c r="F625" s="154"/>
      <c r="G625" s="17">
        <v>13.25</v>
      </c>
    </row>
    <row r="626" spans="1:7" ht="15" customHeight="1">
      <c r="A626" s="11"/>
      <c r="B626" s="11"/>
      <c r="C626" s="11"/>
      <c r="D626" s="11"/>
      <c r="E626" s="147" t="s">
        <v>397</v>
      </c>
      <c r="F626" s="148"/>
      <c r="G626" s="18">
        <v>13.25</v>
      </c>
    </row>
    <row r="627" spans="1:7" ht="15" customHeight="1">
      <c r="A627" s="11"/>
      <c r="B627" s="11"/>
      <c r="C627" s="11"/>
      <c r="D627" s="11"/>
      <c r="E627" s="147" t="s">
        <v>398</v>
      </c>
      <c r="F627" s="148"/>
      <c r="G627" s="18">
        <v>1.47</v>
      </c>
    </row>
    <row r="628" spans="1:7" ht="15" customHeight="1">
      <c r="A628" s="11"/>
      <c r="B628" s="11"/>
      <c r="C628" s="11"/>
      <c r="D628" s="11"/>
      <c r="E628" s="147" t="s">
        <v>399</v>
      </c>
      <c r="F628" s="148"/>
      <c r="G628" s="18">
        <v>14.72</v>
      </c>
    </row>
    <row r="629" spans="1:7" ht="15" customHeight="1">
      <c r="A629" s="11"/>
      <c r="B629" s="11"/>
      <c r="C629" s="11"/>
      <c r="D629" s="11"/>
      <c r="E629" s="147" t="s">
        <v>400</v>
      </c>
      <c r="F629" s="148"/>
      <c r="G629" s="18">
        <v>3.5739999999999998</v>
      </c>
    </row>
    <row r="630" spans="1:7" ht="15" customHeight="1">
      <c r="A630" s="11"/>
      <c r="B630" s="11"/>
      <c r="C630" s="11"/>
      <c r="D630" s="11"/>
      <c r="E630" s="147" t="s">
        <v>401</v>
      </c>
      <c r="F630" s="148"/>
      <c r="G630" s="18">
        <v>18.29</v>
      </c>
    </row>
    <row r="631" spans="1:7" ht="9.9499999999999993" customHeight="1">
      <c r="A631" s="11"/>
      <c r="B631" s="11"/>
      <c r="C631" s="155" t="s">
        <v>370</v>
      </c>
      <c r="D631" s="156"/>
      <c r="E631" s="11"/>
      <c r="F631" s="11"/>
      <c r="G631" s="11"/>
    </row>
    <row r="632" spans="1:7" ht="20.100000000000001" customHeight="1">
      <c r="A632" s="149" t="s">
        <v>651</v>
      </c>
      <c r="B632" s="150"/>
      <c r="C632" s="150"/>
      <c r="D632" s="150"/>
      <c r="E632" s="150"/>
      <c r="F632" s="150"/>
      <c r="G632" s="150"/>
    </row>
    <row r="633" spans="1:7" ht="15" customHeight="1">
      <c r="A633" s="151" t="s">
        <v>372</v>
      </c>
      <c r="B633" s="152"/>
      <c r="C633" s="12" t="s">
        <v>373</v>
      </c>
      <c r="D633" s="12" t="s">
        <v>374</v>
      </c>
      <c r="E633" s="12" t="s">
        <v>375</v>
      </c>
      <c r="F633" s="12" t="s">
        <v>376</v>
      </c>
      <c r="G633" s="12" t="s">
        <v>377</v>
      </c>
    </row>
    <row r="634" spans="1:7" ht="15" customHeight="1">
      <c r="A634" s="13" t="s">
        <v>438</v>
      </c>
      <c r="B634" s="14" t="s">
        <v>439</v>
      </c>
      <c r="C634" s="13" t="s">
        <v>380</v>
      </c>
      <c r="D634" s="13" t="s">
        <v>381</v>
      </c>
      <c r="E634" s="15">
        <v>0.25</v>
      </c>
      <c r="F634" s="16">
        <v>9.6273999999999997</v>
      </c>
      <c r="G634" s="16">
        <v>2.41</v>
      </c>
    </row>
    <row r="635" spans="1:7" ht="15" customHeight="1">
      <c r="A635" s="13" t="s">
        <v>378</v>
      </c>
      <c r="B635" s="14" t="s">
        <v>379</v>
      </c>
      <c r="C635" s="13" t="s">
        <v>380</v>
      </c>
      <c r="D635" s="13" t="s">
        <v>381</v>
      </c>
      <c r="E635" s="15">
        <v>0.31</v>
      </c>
      <c r="F635" s="16">
        <v>7.1327999999999996</v>
      </c>
      <c r="G635" s="16">
        <v>2.21</v>
      </c>
    </row>
    <row r="636" spans="1:7" ht="15" customHeight="1">
      <c r="A636" s="11"/>
      <c r="B636" s="11"/>
      <c r="C636" s="11"/>
      <c r="D636" s="11"/>
      <c r="E636" s="153" t="s">
        <v>382</v>
      </c>
      <c r="F636" s="154"/>
      <c r="G636" s="17">
        <v>4.62</v>
      </c>
    </row>
    <row r="637" spans="1:7" ht="15" customHeight="1">
      <c r="A637" s="151" t="s">
        <v>383</v>
      </c>
      <c r="B637" s="152"/>
      <c r="C637" s="12" t="s">
        <v>373</v>
      </c>
      <c r="D637" s="12" t="s">
        <v>374</v>
      </c>
      <c r="E637" s="12" t="s">
        <v>375</v>
      </c>
      <c r="F637" s="12" t="s">
        <v>376</v>
      </c>
      <c r="G637" s="12" t="s">
        <v>377</v>
      </c>
    </row>
    <row r="638" spans="1:7" ht="15" customHeight="1">
      <c r="A638" s="13" t="s">
        <v>652</v>
      </c>
      <c r="B638" s="14" t="s">
        <v>653</v>
      </c>
      <c r="C638" s="13" t="s">
        <v>380</v>
      </c>
      <c r="D638" s="13" t="s">
        <v>427</v>
      </c>
      <c r="E638" s="15">
        <v>7.1999999999999998E-3</v>
      </c>
      <c r="F638" s="16">
        <v>51</v>
      </c>
      <c r="G638" s="16">
        <v>0.37</v>
      </c>
    </row>
    <row r="639" spans="1:7" ht="15" customHeight="1">
      <c r="A639" s="13" t="s">
        <v>456</v>
      </c>
      <c r="B639" s="14" t="s">
        <v>457</v>
      </c>
      <c r="C639" s="13" t="s">
        <v>380</v>
      </c>
      <c r="D639" s="13" t="s">
        <v>395</v>
      </c>
      <c r="E639" s="15">
        <v>2.92</v>
      </c>
      <c r="F639" s="16">
        <v>0.46</v>
      </c>
      <c r="G639" s="16">
        <v>1.34</v>
      </c>
    </row>
    <row r="640" spans="1:7" ht="15" customHeight="1">
      <c r="A640" s="11"/>
      <c r="B640" s="11"/>
      <c r="C640" s="11"/>
      <c r="D640" s="11"/>
      <c r="E640" s="153" t="s">
        <v>396</v>
      </c>
      <c r="F640" s="154"/>
      <c r="G640" s="17">
        <v>1.71</v>
      </c>
    </row>
    <row r="641" spans="1:7" ht="15" customHeight="1">
      <c r="A641" s="11"/>
      <c r="B641" s="11"/>
      <c r="C641" s="11"/>
      <c r="D641" s="11"/>
      <c r="E641" s="147" t="s">
        <v>397</v>
      </c>
      <c r="F641" s="148"/>
      <c r="G641" s="18">
        <v>6.33</v>
      </c>
    </row>
    <row r="642" spans="1:7" ht="15" customHeight="1">
      <c r="A642" s="11"/>
      <c r="B642" s="11"/>
      <c r="C642" s="11"/>
      <c r="D642" s="11"/>
      <c r="E642" s="147" t="s">
        <v>398</v>
      </c>
      <c r="F642" s="148"/>
      <c r="G642" s="18">
        <v>3.93</v>
      </c>
    </row>
    <row r="643" spans="1:7" ht="15" customHeight="1">
      <c r="A643" s="11"/>
      <c r="B643" s="11"/>
      <c r="C643" s="11"/>
      <c r="D643" s="11"/>
      <c r="E643" s="147" t="s">
        <v>399</v>
      </c>
      <c r="F643" s="148"/>
      <c r="G643" s="18">
        <v>10.26</v>
      </c>
    </row>
    <row r="644" spans="1:7" ht="15" customHeight="1">
      <c r="A644" s="11"/>
      <c r="B644" s="11"/>
      <c r="C644" s="11"/>
      <c r="D644" s="11"/>
      <c r="E644" s="147" t="s">
        <v>400</v>
      </c>
      <c r="F644" s="148"/>
      <c r="G644" s="18">
        <v>2.4910999999999999</v>
      </c>
    </row>
    <row r="645" spans="1:7" ht="15" customHeight="1">
      <c r="A645" s="11"/>
      <c r="B645" s="11"/>
      <c r="C645" s="11"/>
      <c r="D645" s="11"/>
      <c r="E645" s="147" t="s">
        <v>401</v>
      </c>
      <c r="F645" s="148"/>
      <c r="G645" s="18">
        <v>12.75</v>
      </c>
    </row>
    <row r="646" spans="1:7" ht="9.9499999999999993" customHeight="1">
      <c r="A646" s="11"/>
      <c r="B646" s="11"/>
      <c r="C646" s="155" t="s">
        <v>370</v>
      </c>
      <c r="D646" s="156"/>
      <c r="E646" s="11"/>
      <c r="F646" s="11"/>
      <c r="G646" s="11"/>
    </row>
    <row r="647" spans="1:7" ht="20.100000000000001" customHeight="1">
      <c r="A647" s="149" t="s">
        <v>654</v>
      </c>
      <c r="B647" s="150"/>
      <c r="C647" s="150"/>
      <c r="D647" s="150"/>
      <c r="E647" s="150"/>
      <c r="F647" s="150"/>
      <c r="G647" s="150"/>
    </row>
    <row r="648" spans="1:7" ht="15" customHeight="1">
      <c r="A648" s="151" t="s">
        <v>655</v>
      </c>
      <c r="B648" s="152"/>
      <c r="C648" s="12" t="s">
        <v>373</v>
      </c>
      <c r="D648" s="12" t="s">
        <v>374</v>
      </c>
      <c r="E648" s="12" t="s">
        <v>375</v>
      </c>
      <c r="F648" s="12" t="s">
        <v>376</v>
      </c>
      <c r="G648" s="12" t="s">
        <v>377</v>
      </c>
    </row>
    <row r="649" spans="1:7" ht="15" customHeight="1">
      <c r="A649" s="13" t="s">
        <v>656</v>
      </c>
      <c r="B649" s="14" t="s">
        <v>657</v>
      </c>
      <c r="C649" s="13" t="s">
        <v>380</v>
      </c>
      <c r="D649" s="13" t="s">
        <v>381</v>
      </c>
      <c r="E649" s="15">
        <v>1.43E-2</v>
      </c>
      <c r="F649" s="16">
        <v>12.18</v>
      </c>
      <c r="G649" s="16">
        <v>0.17</v>
      </c>
    </row>
    <row r="650" spans="1:7" ht="15" customHeight="1">
      <c r="A650" s="11"/>
      <c r="B650" s="11"/>
      <c r="C650" s="11"/>
      <c r="D650" s="11"/>
      <c r="E650" s="153" t="s">
        <v>658</v>
      </c>
      <c r="F650" s="154"/>
      <c r="G650" s="17">
        <v>0.17</v>
      </c>
    </row>
    <row r="651" spans="1:7" ht="15" customHeight="1">
      <c r="A651" s="151" t="s">
        <v>372</v>
      </c>
      <c r="B651" s="152"/>
      <c r="C651" s="12" t="s">
        <v>373</v>
      </c>
      <c r="D651" s="12" t="s">
        <v>374</v>
      </c>
      <c r="E651" s="12" t="s">
        <v>375</v>
      </c>
      <c r="F651" s="12" t="s">
        <v>376</v>
      </c>
      <c r="G651" s="12" t="s">
        <v>377</v>
      </c>
    </row>
    <row r="652" spans="1:7" ht="15" customHeight="1">
      <c r="A652" s="13" t="s">
        <v>438</v>
      </c>
      <c r="B652" s="14" t="s">
        <v>439</v>
      </c>
      <c r="C652" s="13" t="s">
        <v>380</v>
      </c>
      <c r="D652" s="13" t="s">
        <v>381</v>
      </c>
      <c r="E652" s="15">
        <v>0.7</v>
      </c>
      <c r="F652" s="16">
        <v>9.6273999999999997</v>
      </c>
      <c r="G652" s="16">
        <v>6.74</v>
      </c>
    </row>
    <row r="653" spans="1:7" ht="15" customHeight="1">
      <c r="A653" s="13" t="s">
        <v>378</v>
      </c>
      <c r="B653" s="14" t="s">
        <v>379</v>
      </c>
      <c r="C653" s="13" t="s">
        <v>380</v>
      </c>
      <c r="D653" s="13" t="s">
        <v>381</v>
      </c>
      <c r="E653" s="15">
        <v>0.82</v>
      </c>
      <c r="F653" s="16">
        <v>7.1327999999999996</v>
      </c>
      <c r="G653" s="16">
        <v>5.85</v>
      </c>
    </row>
    <row r="654" spans="1:7" ht="15" customHeight="1">
      <c r="A654" s="11"/>
      <c r="B654" s="11"/>
      <c r="C654" s="11"/>
      <c r="D654" s="11"/>
      <c r="E654" s="153" t="s">
        <v>382</v>
      </c>
      <c r="F654" s="154"/>
      <c r="G654" s="17">
        <v>12.59</v>
      </c>
    </row>
    <row r="655" spans="1:7" ht="15" customHeight="1">
      <c r="A655" s="151" t="s">
        <v>383</v>
      </c>
      <c r="B655" s="152"/>
      <c r="C655" s="12" t="s">
        <v>373</v>
      </c>
      <c r="D655" s="12" t="s">
        <v>374</v>
      </c>
      <c r="E655" s="12" t="s">
        <v>375</v>
      </c>
      <c r="F655" s="12" t="s">
        <v>376</v>
      </c>
      <c r="G655" s="12" t="s">
        <v>377</v>
      </c>
    </row>
    <row r="656" spans="1:7" ht="15" customHeight="1">
      <c r="A656" s="13" t="s">
        <v>652</v>
      </c>
      <c r="B656" s="14" t="s">
        <v>653</v>
      </c>
      <c r="C656" s="13" t="s">
        <v>380</v>
      </c>
      <c r="D656" s="13" t="s">
        <v>427</v>
      </c>
      <c r="E656" s="15">
        <v>2.4299999999999999E-2</v>
      </c>
      <c r="F656" s="16">
        <v>51</v>
      </c>
      <c r="G656" s="16">
        <v>1.24</v>
      </c>
    </row>
    <row r="657" spans="1:7" ht="15" customHeight="1">
      <c r="A657" s="13" t="s">
        <v>454</v>
      </c>
      <c r="B657" s="14" t="s">
        <v>455</v>
      </c>
      <c r="C657" s="13" t="s">
        <v>380</v>
      </c>
      <c r="D657" s="13" t="s">
        <v>395</v>
      </c>
      <c r="E657" s="15">
        <v>2.66</v>
      </c>
      <c r="F657" s="16">
        <v>1.1000000000000001</v>
      </c>
      <c r="G657" s="16">
        <v>2.93</v>
      </c>
    </row>
    <row r="658" spans="1:7" ht="15" customHeight="1">
      <c r="A658" s="13" t="s">
        <v>456</v>
      </c>
      <c r="B658" s="14" t="s">
        <v>457</v>
      </c>
      <c r="C658" s="13" t="s">
        <v>380</v>
      </c>
      <c r="D658" s="13" t="s">
        <v>395</v>
      </c>
      <c r="E658" s="15">
        <v>2.66</v>
      </c>
      <c r="F658" s="16">
        <v>0.46</v>
      </c>
      <c r="G658" s="16">
        <v>1.22</v>
      </c>
    </row>
    <row r="659" spans="1:7" ht="15" customHeight="1">
      <c r="A659" s="11"/>
      <c r="B659" s="11"/>
      <c r="C659" s="11"/>
      <c r="D659" s="11"/>
      <c r="E659" s="153" t="s">
        <v>396</v>
      </c>
      <c r="F659" s="154"/>
      <c r="G659" s="17">
        <v>5.39</v>
      </c>
    </row>
    <row r="660" spans="1:7" ht="15" customHeight="1">
      <c r="A660" s="11"/>
      <c r="B660" s="11"/>
      <c r="C660" s="11"/>
      <c r="D660" s="11"/>
      <c r="E660" s="147" t="s">
        <v>397</v>
      </c>
      <c r="F660" s="148"/>
      <c r="G660" s="18">
        <v>18.149999999999999</v>
      </c>
    </row>
    <row r="661" spans="1:7" ht="15" customHeight="1">
      <c r="A661" s="11"/>
      <c r="B661" s="11"/>
      <c r="C661" s="11"/>
      <c r="D661" s="11"/>
      <c r="E661" s="147" t="s">
        <v>398</v>
      </c>
      <c r="F661" s="148"/>
      <c r="G661" s="18">
        <v>10.83</v>
      </c>
    </row>
    <row r="662" spans="1:7" ht="15" customHeight="1">
      <c r="A662" s="11"/>
      <c r="B662" s="11"/>
      <c r="C662" s="11"/>
      <c r="D662" s="11"/>
      <c r="E662" s="147" t="s">
        <v>399</v>
      </c>
      <c r="F662" s="148"/>
      <c r="G662" s="18">
        <v>28.98</v>
      </c>
    </row>
    <row r="663" spans="1:7" ht="15" customHeight="1">
      <c r="A663" s="11"/>
      <c r="B663" s="11"/>
      <c r="C663" s="11"/>
      <c r="D663" s="11"/>
      <c r="E663" s="147" t="s">
        <v>400</v>
      </c>
      <c r="F663" s="148"/>
      <c r="G663" s="18">
        <v>7.0362999999999998</v>
      </c>
    </row>
    <row r="664" spans="1:7" ht="15" customHeight="1">
      <c r="A664" s="11"/>
      <c r="B664" s="11"/>
      <c r="C664" s="11"/>
      <c r="D664" s="11"/>
      <c r="E664" s="147" t="s">
        <v>401</v>
      </c>
      <c r="F664" s="148"/>
      <c r="G664" s="18">
        <v>36.020000000000003</v>
      </c>
    </row>
    <row r="665" spans="1:7" ht="9.9499999999999993" customHeight="1">
      <c r="A665" s="11"/>
      <c r="B665" s="11"/>
      <c r="C665" s="155" t="s">
        <v>370</v>
      </c>
      <c r="D665" s="156"/>
      <c r="E665" s="11"/>
      <c r="F665" s="11"/>
      <c r="G665" s="11"/>
    </row>
    <row r="666" spans="1:7" ht="20.100000000000001" customHeight="1">
      <c r="A666" s="149" t="s">
        <v>659</v>
      </c>
      <c r="B666" s="150"/>
      <c r="C666" s="150"/>
      <c r="D666" s="150"/>
      <c r="E666" s="150"/>
      <c r="F666" s="150"/>
      <c r="G666" s="150"/>
    </row>
    <row r="667" spans="1:7" ht="15" customHeight="1">
      <c r="A667" s="151" t="s">
        <v>372</v>
      </c>
      <c r="B667" s="152"/>
      <c r="C667" s="12" t="s">
        <v>373</v>
      </c>
      <c r="D667" s="12" t="s">
        <v>374</v>
      </c>
      <c r="E667" s="12" t="s">
        <v>375</v>
      </c>
      <c r="F667" s="12" t="s">
        <v>376</v>
      </c>
      <c r="G667" s="12" t="s">
        <v>377</v>
      </c>
    </row>
    <row r="668" spans="1:7" ht="15" customHeight="1">
      <c r="A668" s="13" t="s">
        <v>660</v>
      </c>
      <c r="B668" s="14" t="s">
        <v>661</v>
      </c>
      <c r="C668" s="13" t="s">
        <v>482</v>
      </c>
      <c r="D668" s="13" t="s">
        <v>381</v>
      </c>
      <c r="E668" s="15">
        <v>0.248</v>
      </c>
      <c r="F668" s="16">
        <v>6.6</v>
      </c>
      <c r="G668" s="16">
        <v>1.64</v>
      </c>
    </row>
    <row r="669" spans="1:7" ht="15" customHeight="1">
      <c r="A669" s="13" t="s">
        <v>662</v>
      </c>
      <c r="B669" s="14" t="s">
        <v>663</v>
      </c>
      <c r="C669" s="13" t="s">
        <v>482</v>
      </c>
      <c r="D669" s="13" t="s">
        <v>381</v>
      </c>
      <c r="E669" s="15">
        <v>0.224</v>
      </c>
      <c r="F669" s="16">
        <v>4.9000000000000004</v>
      </c>
      <c r="G669" s="16">
        <v>1.1000000000000001</v>
      </c>
    </row>
    <row r="670" spans="1:7" ht="15" customHeight="1">
      <c r="A670" s="11"/>
      <c r="B670" s="11"/>
      <c r="C670" s="11"/>
      <c r="D670" s="11"/>
      <c r="E670" s="153" t="s">
        <v>382</v>
      </c>
      <c r="F670" s="154"/>
      <c r="G670" s="17">
        <v>2.74</v>
      </c>
    </row>
    <row r="671" spans="1:7" ht="15" customHeight="1">
      <c r="A671" s="151" t="s">
        <v>383</v>
      </c>
      <c r="B671" s="152"/>
      <c r="C671" s="12" t="s">
        <v>373</v>
      </c>
      <c r="D671" s="12" t="s">
        <v>374</v>
      </c>
      <c r="E671" s="12" t="s">
        <v>375</v>
      </c>
      <c r="F671" s="12" t="s">
        <v>376</v>
      </c>
      <c r="G671" s="12" t="s">
        <v>377</v>
      </c>
    </row>
    <row r="672" spans="1:7" ht="15" customHeight="1">
      <c r="A672" s="13" t="s">
        <v>664</v>
      </c>
      <c r="B672" s="14" t="s">
        <v>665</v>
      </c>
      <c r="C672" s="13" t="s">
        <v>482</v>
      </c>
      <c r="D672" s="13" t="s">
        <v>386</v>
      </c>
      <c r="E672" s="15">
        <v>1.05</v>
      </c>
      <c r="F672" s="16">
        <v>49.9</v>
      </c>
      <c r="G672" s="16">
        <v>52.4</v>
      </c>
    </row>
    <row r="673" spans="1:7" ht="20.100000000000001" customHeight="1">
      <c r="A673" s="13" t="s">
        <v>666</v>
      </c>
      <c r="B673" s="14" t="s">
        <v>667</v>
      </c>
      <c r="C673" s="13" t="s">
        <v>482</v>
      </c>
      <c r="D673" s="13" t="s">
        <v>395</v>
      </c>
      <c r="E673" s="15">
        <v>0.52</v>
      </c>
      <c r="F673" s="16">
        <v>2.74</v>
      </c>
      <c r="G673" s="16">
        <v>1.42</v>
      </c>
    </row>
    <row r="674" spans="1:7" ht="15" customHeight="1">
      <c r="A674" s="13" t="s">
        <v>668</v>
      </c>
      <c r="B674" s="14" t="s">
        <v>669</v>
      </c>
      <c r="C674" s="13" t="s">
        <v>482</v>
      </c>
      <c r="D674" s="13" t="s">
        <v>395</v>
      </c>
      <c r="E674" s="15">
        <v>4.5</v>
      </c>
      <c r="F674" s="16">
        <v>0.99</v>
      </c>
      <c r="G674" s="16">
        <v>4.46</v>
      </c>
    </row>
    <row r="675" spans="1:7" ht="15" customHeight="1">
      <c r="A675" s="11"/>
      <c r="B675" s="11"/>
      <c r="C675" s="11"/>
      <c r="D675" s="11"/>
      <c r="E675" s="153" t="s">
        <v>396</v>
      </c>
      <c r="F675" s="154"/>
      <c r="G675" s="17">
        <v>58.28</v>
      </c>
    </row>
    <row r="676" spans="1:7" ht="15" customHeight="1">
      <c r="A676" s="11"/>
      <c r="B676" s="11"/>
      <c r="C676" s="11"/>
      <c r="D676" s="11"/>
      <c r="E676" s="147" t="s">
        <v>397</v>
      </c>
      <c r="F676" s="148"/>
      <c r="G676" s="18">
        <v>61.02</v>
      </c>
    </row>
    <row r="677" spans="1:7" ht="15" customHeight="1">
      <c r="A677" s="11"/>
      <c r="B677" s="11"/>
      <c r="C677" s="11"/>
      <c r="D677" s="11"/>
      <c r="E677" s="147" t="s">
        <v>492</v>
      </c>
      <c r="F677" s="148"/>
      <c r="G677" s="18">
        <v>3.24</v>
      </c>
    </row>
    <row r="678" spans="1:7" ht="15" customHeight="1">
      <c r="A678" s="11"/>
      <c r="B678" s="11"/>
      <c r="C678" s="11"/>
      <c r="D678" s="11"/>
      <c r="E678" s="147" t="s">
        <v>399</v>
      </c>
      <c r="F678" s="148"/>
      <c r="G678" s="18">
        <v>64.260000000000005</v>
      </c>
    </row>
    <row r="679" spans="1:7" ht="15" customHeight="1">
      <c r="A679" s="11"/>
      <c r="B679" s="11"/>
      <c r="C679" s="11"/>
      <c r="D679" s="11"/>
      <c r="E679" s="147" t="s">
        <v>400</v>
      </c>
      <c r="F679" s="148"/>
      <c r="G679" s="18">
        <v>15.6023</v>
      </c>
    </row>
    <row r="680" spans="1:7" ht="15" customHeight="1">
      <c r="A680" s="11"/>
      <c r="B680" s="11"/>
      <c r="C680" s="11"/>
      <c r="D680" s="11"/>
      <c r="E680" s="147" t="s">
        <v>401</v>
      </c>
      <c r="F680" s="148"/>
      <c r="G680" s="18">
        <v>79.86</v>
      </c>
    </row>
    <row r="681" spans="1:7" ht="9.9499999999999993" customHeight="1">
      <c r="A681" s="11"/>
      <c r="B681" s="11"/>
      <c r="C681" s="155" t="s">
        <v>370</v>
      </c>
      <c r="D681" s="156"/>
      <c r="E681" s="11"/>
      <c r="F681" s="11"/>
      <c r="G681" s="11"/>
    </row>
    <row r="682" spans="1:7" ht="20.100000000000001" customHeight="1">
      <c r="A682" s="149" t="s">
        <v>670</v>
      </c>
      <c r="B682" s="150"/>
      <c r="C682" s="150"/>
      <c r="D682" s="150"/>
      <c r="E682" s="150"/>
      <c r="F682" s="150"/>
      <c r="G682" s="150"/>
    </row>
    <row r="683" spans="1:7" ht="9.9499999999999993" customHeight="1">
      <c r="A683" s="158"/>
      <c r="B683" s="158"/>
      <c r="C683" s="158"/>
      <c r="D683" s="158"/>
      <c r="E683" s="158"/>
      <c r="F683" s="158"/>
      <c r="G683" s="158"/>
    </row>
    <row r="684" spans="1:7" ht="15" customHeight="1">
      <c r="A684" s="11"/>
      <c r="B684" s="11"/>
      <c r="C684" s="11"/>
      <c r="D684" s="11"/>
      <c r="E684" s="147" t="s">
        <v>397</v>
      </c>
      <c r="F684" s="148"/>
      <c r="G684" s="18">
        <v>102.9</v>
      </c>
    </row>
    <row r="685" spans="1:7" ht="15" customHeight="1">
      <c r="A685" s="11"/>
      <c r="B685" s="11"/>
      <c r="C685" s="11"/>
      <c r="D685" s="11"/>
      <c r="E685" s="147" t="s">
        <v>545</v>
      </c>
      <c r="F685" s="148"/>
      <c r="G685" s="18">
        <v>0</v>
      </c>
    </row>
    <row r="686" spans="1:7" ht="15" customHeight="1">
      <c r="A686" s="11"/>
      <c r="B686" s="11"/>
      <c r="C686" s="11"/>
      <c r="D686" s="11"/>
      <c r="E686" s="147" t="s">
        <v>399</v>
      </c>
      <c r="F686" s="148"/>
      <c r="G686" s="18">
        <v>102.9</v>
      </c>
    </row>
    <row r="687" spans="1:7" ht="15" customHeight="1">
      <c r="A687" s="11"/>
      <c r="B687" s="11"/>
      <c r="C687" s="11"/>
      <c r="D687" s="11"/>
      <c r="E687" s="147" t="s">
        <v>400</v>
      </c>
      <c r="F687" s="148"/>
      <c r="G687" s="18">
        <v>24.984100000000002</v>
      </c>
    </row>
    <row r="688" spans="1:7" ht="15" customHeight="1">
      <c r="A688" s="11"/>
      <c r="B688" s="11"/>
      <c r="C688" s="11"/>
      <c r="D688" s="11"/>
      <c r="E688" s="147" t="s">
        <v>401</v>
      </c>
      <c r="F688" s="148"/>
      <c r="G688" s="18">
        <v>127.88</v>
      </c>
    </row>
    <row r="689" spans="1:7" ht="9.9499999999999993" customHeight="1">
      <c r="A689" s="11"/>
      <c r="B689" s="11"/>
      <c r="C689" s="155" t="s">
        <v>370</v>
      </c>
      <c r="D689" s="156"/>
      <c r="E689" s="11"/>
      <c r="F689" s="11"/>
      <c r="G689" s="11"/>
    </row>
    <row r="690" spans="1:7" ht="20.100000000000001" customHeight="1">
      <c r="A690" s="149" t="s">
        <v>671</v>
      </c>
      <c r="B690" s="150"/>
      <c r="C690" s="150"/>
      <c r="D690" s="150"/>
      <c r="E690" s="150"/>
      <c r="F690" s="150"/>
      <c r="G690" s="150"/>
    </row>
    <row r="691" spans="1:7" ht="15" customHeight="1">
      <c r="A691" s="151" t="s">
        <v>372</v>
      </c>
      <c r="B691" s="152"/>
      <c r="C691" s="12" t="s">
        <v>373</v>
      </c>
      <c r="D691" s="12" t="s">
        <v>374</v>
      </c>
      <c r="E691" s="12" t="s">
        <v>375</v>
      </c>
      <c r="F691" s="12" t="s">
        <v>376</v>
      </c>
      <c r="G691" s="12" t="s">
        <v>377</v>
      </c>
    </row>
    <row r="692" spans="1:7" ht="15" customHeight="1">
      <c r="A692" s="13" t="s">
        <v>672</v>
      </c>
      <c r="B692" s="14" t="s">
        <v>673</v>
      </c>
      <c r="C692" s="13" t="s">
        <v>482</v>
      </c>
      <c r="D692" s="13" t="s">
        <v>381</v>
      </c>
      <c r="E692" s="15">
        <v>0.54</v>
      </c>
      <c r="F692" s="16">
        <v>6.6</v>
      </c>
      <c r="G692" s="16">
        <v>3.56</v>
      </c>
    </row>
    <row r="693" spans="1:7" ht="15" customHeight="1">
      <c r="A693" s="13" t="s">
        <v>485</v>
      </c>
      <c r="B693" s="14" t="s">
        <v>379</v>
      </c>
      <c r="C693" s="13" t="s">
        <v>482</v>
      </c>
      <c r="D693" s="13" t="s">
        <v>381</v>
      </c>
      <c r="E693" s="15">
        <v>6.8000000000000005E-2</v>
      </c>
      <c r="F693" s="16">
        <v>4.3499999999999996</v>
      </c>
      <c r="G693" s="16">
        <v>0.3</v>
      </c>
    </row>
    <row r="694" spans="1:7" ht="15" customHeight="1">
      <c r="A694" s="11"/>
      <c r="B694" s="11"/>
      <c r="C694" s="11"/>
      <c r="D694" s="11"/>
      <c r="E694" s="153" t="s">
        <v>382</v>
      </c>
      <c r="F694" s="154"/>
      <c r="G694" s="17">
        <v>3.86</v>
      </c>
    </row>
    <row r="695" spans="1:7" ht="15" customHeight="1">
      <c r="A695" s="151" t="s">
        <v>383</v>
      </c>
      <c r="B695" s="152"/>
      <c r="C695" s="12" t="s">
        <v>373</v>
      </c>
      <c r="D695" s="12" t="s">
        <v>374</v>
      </c>
      <c r="E695" s="12" t="s">
        <v>375</v>
      </c>
      <c r="F695" s="12" t="s">
        <v>376</v>
      </c>
      <c r="G695" s="12" t="s">
        <v>377</v>
      </c>
    </row>
    <row r="696" spans="1:7" ht="15" customHeight="1">
      <c r="A696" s="13" t="s">
        <v>674</v>
      </c>
      <c r="B696" s="14" t="s">
        <v>675</v>
      </c>
      <c r="C696" s="13" t="s">
        <v>482</v>
      </c>
      <c r="D696" s="13" t="s">
        <v>430</v>
      </c>
      <c r="E696" s="15">
        <v>0.06</v>
      </c>
      <c r="F696" s="16">
        <v>1.6</v>
      </c>
      <c r="G696" s="16">
        <v>0.1</v>
      </c>
    </row>
    <row r="697" spans="1:7" ht="15" customHeight="1">
      <c r="A697" s="13" t="s">
        <v>676</v>
      </c>
      <c r="B697" s="14" t="s">
        <v>677</v>
      </c>
      <c r="C697" s="13" t="s">
        <v>482</v>
      </c>
      <c r="D697" s="13" t="s">
        <v>389</v>
      </c>
      <c r="E697" s="15">
        <v>0.2</v>
      </c>
      <c r="F697" s="16">
        <v>14.55</v>
      </c>
      <c r="G697" s="16">
        <v>2.91</v>
      </c>
    </row>
    <row r="698" spans="1:7" ht="15" customHeight="1">
      <c r="A698" s="13" t="s">
        <v>678</v>
      </c>
      <c r="B698" s="14" t="s">
        <v>679</v>
      </c>
      <c r="C698" s="13" t="s">
        <v>482</v>
      </c>
      <c r="D698" s="13" t="s">
        <v>680</v>
      </c>
      <c r="E698" s="15">
        <v>4.8899999999999999E-2</v>
      </c>
      <c r="F698" s="16">
        <v>69.900000000000006</v>
      </c>
      <c r="G698" s="16">
        <v>3.42</v>
      </c>
    </row>
    <row r="699" spans="1:7" ht="15" customHeight="1">
      <c r="A699" s="11"/>
      <c r="B699" s="11"/>
      <c r="C699" s="11"/>
      <c r="D699" s="11"/>
      <c r="E699" s="153" t="s">
        <v>396</v>
      </c>
      <c r="F699" s="154"/>
      <c r="G699" s="17">
        <v>6.43</v>
      </c>
    </row>
    <row r="700" spans="1:7" ht="15" customHeight="1">
      <c r="A700" s="11"/>
      <c r="B700" s="11"/>
      <c r="C700" s="11"/>
      <c r="D700" s="11"/>
      <c r="E700" s="147" t="s">
        <v>397</v>
      </c>
      <c r="F700" s="148"/>
      <c r="G700" s="18">
        <v>10.29</v>
      </c>
    </row>
    <row r="701" spans="1:7" ht="15" customHeight="1">
      <c r="A701" s="11"/>
      <c r="B701" s="11"/>
      <c r="C701" s="11"/>
      <c r="D701" s="11"/>
      <c r="E701" s="147" t="s">
        <v>492</v>
      </c>
      <c r="F701" s="148"/>
      <c r="G701" s="18">
        <v>4.5599999999999996</v>
      </c>
    </row>
    <row r="702" spans="1:7" ht="15" customHeight="1">
      <c r="A702" s="11"/>
      <c r="B702" s="11"/>
      <c r="C702" s="11"/>
      <c r="D702" s="11"/>
      <c r="E702" s="147" t="s">
        <v>399</v>
      </c>
      <c r="F702" s="148"/>
      <c r="G702" s="18">
        <v>14.85</v>
      </c>
    </row>
    <row r="703" spans="1:7" ht="15" customHeight="1">
      <c r="A703" s="11"/>
      <c r="B703" s="11"/>
      <c r="C703" s="11"/>
      <c r="D703" s="11"/>
      <c r="E703" s="147" t="s">
        <v>400</v>
      </c>
      <c r="F703" s="148"/>
      <c r="G703" s="18">
        <v>3.6055999999999999</v>
      </c>
    </row>
    <row r="704" spans="1:7" ht="15" customHeight="1">
      <c r="A704" s="11"/>
      <c r="B704" s="11"/>
      <c r="C704" s="11"/>
      <c r="D704" s="11"/>
      <c r="E704" s="147" t="s">
        <v>401</v>
      </c>
      <c r="F704" s="148"/>
      <c r="G704" s="18">
        <v>18.46</v>
      </c>
    </row>
    <row r="705" spans="1:7" ht="9.9499999999999993" customHeight="1">
      <c r="A705" s="11"/>
      <c r="B705" s="11"/>
      <c r="C705" s="155" t="s">
        <v>370</v>
      </c>
      <c r="D705" s="156"/>
      <c r="E705" s="11"/>
      <c r="F705" s="11"/>
      <c r="G705" s="11"/>
    </row>
    <row r="706" spans="1:7" ht="20.100000000000001" customHeight="1">
      <c r="A706" s="149" t="s">
        <v>681</v>
      </c>
      <c r="B706" s="150"/>
      <c r="C706" s="150"/>
      <c r="D706" s="150"/>
      <c r="E706" s="150"/>
      <c r="F706" s="150"/>
      <c r="G706" s="150"/>
    </row>
    <row r="707" spans="1:7" ht="15" customHeight="1">
      <c r="A707" s="151" t="s">
        <v>372</v>
      </c>
      <c r="B707" s="152"/>
      <c r="C707" s="12" t="s">
        <v>373</v>
      </c>
      <c r="D707" s="12" t="s">
        <v>374</v>
      </c>
      <c r="E707" s="12" t="s">
        <v>375</v>
      </c>
      <c r="F707" s="12" t="s">
        <v>376</v>
      </c>
      <c r="G707" s="12" t="s">
        <v>377</v>
      </c>
    </row>
    <row r="708" spans="1:7" ht="15" customHeight="1">
      <c r="A708" s="13" t="s">
        <v>682</v>
      </c>
      <c r="B708" s="14" t="s">
        <v>683</v>
      </c>
      <c r="C708" s="13" t="s">
        <v>482</v>
      </c>
      <c r="D708" s="13" t="s">
        <v>381</v>
      </c>
      <c r="E708" s="15">
        <v>0.42499999999999999</v>
      </c>
      <c r="F708" s="16">
        <v>6.6</v>
      </c>
      <c r="G708" s="16">
        <v>2.81</v>
      </c>
    </row>
    <row r="709" spans="1:7" ht="15" customHeight="1">
      <c r="A709" s="13" t="s">
        <v>684</v>
      </c>
      <c r="B709" s="14" t="s">
        <v>685</v>
      </c>
      <c r="C709" s="13" t="s">
        <v>482</v>
      </c>
      <c r="D709" s="13" t="s">
        <v>381</v>
      </c>
      <c r="E709" s="15">
        <v>0.31900000000000001</v>
      </c>
      <c r="F709" s="16">
        <v>4.9000000000000004</v>
      </c>
      <c r="G709" s="16">
        <v>1.56</v>
      </c>
    </row>
    <row r="710" spans="1:7" ht="15" customHeight="1">
      <c r="A710" s="11"/>
      <c r="B710" s="11"/>
      <c r="C710" s="11"/>
      <c r="D710" s="11"/>
      <c r="E710" s="153" t="s">
        <v>382</v>
      </c>
      <c r="F710" s="154"/>
      <c r="G710" s="17">
        <v>4.37</v>
      </c>
    </row>
    <row r="711" spans="1:7" ht="15" customHeight="1">
      <c r="A711" s="151" t="s">
        <v>383</v>
      </c>
      <c r="B711" s="152"/>
      <c r="C711" s="12" t="s">
        <v>373</v>
      </c>
      <c r="D711" s="12" t="s">
        <v>374</v>
      </c>
      <c r="E711" s="12" t="s">
        <v>375</v>
      </c>
      <c r="F711" s="12" t="s">
        <v>376</v>
      </c>
      <c r="G711" s="12" t="s">
        <v>377</v>
      </c>
    </row>
    <row r="712" spans="1:7" ht="15" customHeight="1">
      <c r="A712" s="13" t="s">
        <v>686</v>
      </c>
      <c r="B712" s="14" t="s">
        <v>687</v>
      </c>
      <c r="C712" s="13" t="s">
        <v>482</v>
      </c>
      <c r="D712" s="13" t="s">
        <v>395</v>
      </c>
      <c r="E712" s="15">
        <v>0.2</v>
      </c>
      <c r="F712" s="16">
        <v>11.25</v>
      </c>
      <c r="G712" s="16">
        <v>2.25</v>
      </c>
    </row>
    <row r="713" spans="1:7" ht="15" customHeight="1">
      <c r="A713" s="13" t="s">
        <v>688</v>
      </c>
      <c r="B713" s="14" t="s">
        <v>689</v>
      </c>
      <c r="C713" s="13" t="s">
        <v>482</v>
      </c>
      <c r="D713" s="13" t="s">
        <v>395</v>
      </c>
      <c r="E713" s="15">
        <v>0.6</v>
      </c>
      <c r="F713" s="16">
        <v>0.55000000000000004</v>
      </c>
      <c r="G713" s="16">
        <v>0.33</v>
      </c>
    </row>
    <row r="714" spans="1:7" ht="15" customHeight="1">
      <c r="A714" s="13" t="s">
        <v>690</v>
      </c>
      <c r="B714" s="14" t="s">
        <v>691</v>
      </c>
      <c r="C714" s="13" t="s">
        <v>482</v>
      </c>
      <c r="D714" s="13" t="s">
        <v>430</v>
      </c>
      <c r="E714" s="15">
        <v>2.8</v>
      </c>
      <c r="F714" s="16">
        <v>12</v>
      </c>
      <c r="G714" s="16">
        <v>33.6</v>
      </c>
    </row>
    <row r="715" spans="1:7" ht="15" customHeight="1">
      <c r="A715" s="11"/>
      <c r="B715" s="11"/>
      <c r="C715" s="11"/>
      <c r="D715" s="11"/>
      <c r="E715" s="153" t="s">
        <v>396</v>
      </c>
      <c r="F715" s="154"/>
      <c r="G715" s="17">
        <v>36.18</v>
      </c>
    </row>
    <row r="716" spans="1:7" ht="15" customHeight="1">
      <c r="A716" s="11"/>
      <c r="B716" s="11"/>
      <c r="C716" s="11"/>
      <c r="D716" s="11"/>
      <c r="E716" s="147" t="s">
        <v>397</v>
      </c>
      <c r="F716" s="148"/>
      <c r="G716" s="18">
        <v>40.549999999999997</v>
      </c>
    </row>
    <row r="717" spans="1:7" ht="15" customHeight="1">
      <c r="A717" s="11"/>
      <c r="B717" s="11"/>
      <c r="C717" s="11"/>
      <c r="D717" s="11"/>
      <c r="E717" s="147" t="s">
        <v>492</v>
      </c>
      <c r="F717" s="148"/>
      <c r="G717" s="18">
        <v>5.16</v>
      </c>
    </row>
    <row r="718" spans="1:7" ht="15" customHeight="1">
      <c r="A718" s="11"/>
      <c r="B718" s="11"/>
      <c r="C718" s="11"/>
      <c r="D718" s="11"/>
      <c r="E718" s="147" t="s">
        <v>399</v>
      </c>
      <c r="F718" s="148"/>
      <c r="G718" s="18">
        <v>45.71</v>
      </c>
    </row>
    <row r="719" spans="1:7" ht="15" customHeight="1">
      <c r="A719" s="11"/>
      <c r="B719" s="11"/>
      <c r="C719" s="11"/>
      <c r="D719" s="11"/>
      <c r="E719" s="147" t="s">
        <v>400</v>
      </c>
      <c r="F719" s="148"/>
      <c r="G719" s="18">
        <v>11.0984</v>
      </c>
    </row>
    <row r="720" spans="1:7" ht="15" customHeight="1">
      <c r="A720" s="11"/>
      <c r="B720" s="11"/>
      <c r="C720" s="11"/>
      <c r="D720" s="11"/>
      <c r="E720" s="147" t="s">
        <v>401</v>
      </c>
      <c r="F720" s="148"/>
      <c r="G720" s="18">
        <v>56.81</v>
      </c>
    </row>
    <row r="721" spans="1:7" ht="9.9499999999999993" customHeight="1">
      <c r="A721" s="11"/>
      <c r="B721" s="11"/>
      <c r="C721" s="155" t="s">
        <v>370</v>
      </c>
      <c r="D721" s="156"/>
      <c r="E721" s="11"/>
      <c r="F721" s="11"/>
      <c r="G721" s="11"/>
    </row>
    <row r="722" spans="1:7" ht="20.100000000000001" customHeight="1">
      <c r="A722" s="149" t="s">
        <v>692</v>
      </c>
      <c r="B722" s="150"/>
      <c r="C722" s="150"/>
      <c r="D722" s="150"/>
      <c r="E722" s="150"/>
      <c r="F722" s="150"/>
      <c r="G722" s="150"/>
    </row>
    <row r="723" spans="1:7" ht="15" customHeight="1">
      <c r="A723" s="151" t="s">
        <v>372</v>
      </c>
      <c r="B723" s="152"/>
      <c r="C723" s="12" t="s">
        <v>373</v>
      </c>
      <c r="D723" s="12" t="s">
        <v>374</v>
      </c>
      <c r="E723" s="12" t="s">
        <v>375</v>
      </c>
      <c r="F723" s="12" t="s">
        <v>376</v>
      </c>
      <c r="G723" s="12" t="s">
        <v>377</v>
      </c>
    </row>
    <row r="724" spans="1:7" ht="15" customHeight="1">
      <c r="A724" s="13" t="s">
        <v>438</v>
      </c>
      <c r="B724" s="14" t="s">
        <v>439</v>
      </c>
      <c r="C724" s="13" t="s">
        <v>380</v>
      </c>
      <c r="D724" s="13" t="s">
        <v>381</v>
      </c>
      <c r="E724" s="15">
        <v>0.5</v>
      </c>
      <c r="F724" s="16">
        <v>9.6273999999999997</v>
      </c>
      <c r="G724" s="16">
        <v>4.8099999999999996</v>
      </c>
    </row>
    <row r="725" spans="1:7" ht="15" customHeight="1">
      <c r="A725" s="13" t="s">
        <v>378</v>
      </c>
      <c r="B725" s="14" t="s">
        <v>379</v>
      </c>
      <c r="C725" s="13" t="s">
        <v>380</v>
      </c>
      <c r="D725" s="13" t="s">
        <v>381</v>
      </c>
      <c r="E725" s="15">
        <v>0.25</v>
      </c>
      <c r="F725" s="16">
        <v>7.1327999999999996</v>
      </c>
      <c r="G725" s="16">
        <v>1.78</v>
      </c>
    </row>
    <row r="726" spans="1:7" ht="15" customHeight="1">
      <c r="A726" s="11"/>
      <c r="B726" s="11"/>
      <c r="C726" s="11"/>
      <c r="D726" s="11"/>
      <c r="E726" s="153" t="s">
        <v>382</v>
      </c>
      <c r="F726" s="154"/>
      <c r="G726" s="17">
        <v>6.59</v>
      </c>
    </row>
    <row r="727" spans="1:7" ht="15" customHeight="1">
      <c r="A727" s="151" t="s">
        <v>383</v>
      </c>
      <c r="B727" s="152"/>
      <c r="C727" s="12" t="s">
        <v>373</v>
      </c>
      <c r="D727" s="12" t="s">
        <v>374</v>
      </c>
      <c r="E727" s="12" t="s">
        <v>375</v>
      </c>
      <c r="F727" s="12" t="s">
        <v>376</v>
      </c>
      <c r="G727" s="12" t="s">
        <v>377</v>
      </c>
    </row>
    <row r="728" spans="1:7" ht="15" customHeight="1">
      <c r="A728" s="13" t="s">
        <v>693</v>
      </c>
      <c r="B728" s="14" t="s">
        <v>694</v>
      </c>
      <c r="C728" s="13" t="s">
        <v>380</v>
      </c>
      <c r="D728" s="13" t="s">
        <v>392</v>
      </c>
      <c r="E728" s="15">
        <v>1</v>
      </c>
      <c r="F728" s="16">
        <v>45.63</v>
      </c>
      <c r="G728" s="16">
        <v>45.63</v>
      </c>
    </row>
    <row r="729" spans="1:7" ht="15" customHeight="1">
      <c r="A729" s="11"/>
      <c r="B729" s="11"/>
      <c r="C729" s="11"/>
      <c r="D729" s="11"/>
      <c r="E729" s="153" t="s">
        <v>396</v>
      </c>
      <c r="F729" s="154"/>
      <c r="G729" s="17">
        <v>45.63</v>
      </c>
    </row>
    <row r="730" spans="1:7" ht="15" customHeight="1">
      <c r="A730" s="151" t="s">
        <v>414</v>
      </c>
      <c r="B730" s="152"/>
      <c r="C730" s="12" t="s">
        <v>373</v>
      </c>
      <c r="D730" s="12" t="s">
        <v>374</v>
      </c>
      <c r="E730" s="12" t="s">
        <v>375</v>
      </c>
      <c r="F730" s="12" t="s">
        <v>376</v>
      </c>
      <c r="G730" s="12" t="s">
        <v>377</v>
      </c>
    </row>
    <row r="731" spans="1:7" ht="20.100000000000001" customHeight="1">
      <c r="A731" s="13" t="s">
        <v>695</v>
      </c>
      <c r="B731" s="14" t="s">
        <v>696</v>
      </c>
      <c r="C731" s="13" t="s">
        <v>380</v>
      </c>
      <c r="D731" s="13" t="s">
        <v>427</v>
      </c>
      <c r="E731" s="15">
        <v>3.7499999999999999E-3</v>
      </c>
      <c r="F731" s="16">
        <v>501.45</v>
      </c>
      <c r="G731" s="16">
        <v>1.88</v>
      </c>
    </row>
    <row r="732" spans="1:7" ht="15" customHeight="1">
      <c r="A732" s="11"/>
      <c r="B732" s="11"/>
      <c r="C732" s="11"/>
      <c r="D732" s="11"/>
      <c r="E732" s="153" t="s">
        <v>431</v>
      </c>
      <c r="F732" s="154"/>
      <c r="G732" s="17">
        <v>1.88</v>
      </c>
    </row>
    <row r="733" spans="1:7" ht="15" customHeight="1">
      <c r="A733" s="11"/>
      <c r="B733" s="11"/>
      <c r="C733" s="11"/>
      <c r="D733" s="11"/>
      <c r="E733" s="147" t="s">
        <v>397</v>
      </c>
      <c r="F733" s="148"/>
      <c r="G733" s="18">
        <v>54.1</v>
      </c>
    </row>
    <row r="734" spans="1:7" ht="15" customHeight="1">
      <c r="A734" s="11"/>
      <c r="B734" s="11"/>
      <c r="C734" s="11"/>
      <c r="D734" s="11"/>
      <c r="E734" s="147" t="s">
        <v>398</v>
      </c>
      <c r="F734" s="148"/>
      <c r="G734" s="18">
        <v>5.86</v>
      </c>
    </row>
    <row r="735" spans="1:7" ht="15" customHeight="1">
      <c r="A735" s="11"/>
      <c r="B735" s="11"/>
      <c r="C735" s="11"/>
      <c r="D735" s="11"/>
      <c r="E735" s="147" t="s">
        <v>399</v>
      </c>
      <c r="F735" s="148"/>
      <c r="G735" s="18">
        <v>59.96</v>
      </c>
    </row>
    <row r="736" spans="1:7" ht="15" customHeight="1">
      <c r="A736" s="11"/>
      <c r="B736" s="11"/>
      <c r="C736" s="11"/>
      <c r="D736" s="11"/>
      <c r="E736" s="147" t="s">
        <v>400</v>
      </c>
      <c r="F736" s="148"/>
      <c r="G736" s="18">
        <v>14.558299999999999</v>
      </c>
    </row>
    <row r="737" spans="1:7" ht="15" customHeight="1">
      <c r="A737" s="11"/>
      <c r="B737" s="11"/>
      <c r="C737" s="11"/>
      <c r="D737" s="11"/>
      <c r="E737" s="147" t="s">
        <v>401</v>
      </c>
      <c r="F737" s="148"/>
      <c r="G737" s="18">
        <v>74.52</v>
      </c>
    </row>
    <row r="738" spans="1:7" ht="9.9499999999999993" customHeight="1">
      <c r="A738" s="11"/>
      <c r="B738" s="11"/>
      <c r="C738" s="155" t="s">
        <v>370</v>
      </c>
      <c r="D738" s="156"/>
      <c r="E738" s="11"/>
      <c r="F738" s="11"/>
      <c r="G738" s="11"/>
    </row>
    <row r="739" spans="1:7" ht="20.100000000000001" customHeight="1">
      <c r="A739" s="149" t="s">
        <v>697</v>
      </c>
      <c r="B739" s="150"/>
      <c r="C739" s="150"/>
      <c r="D739" s="150"/>
      <c r="E739" s="150"/>
      <c r="F739" s="150"/>
      <c r="G739" s="150"/>
    </row>
    <row r="740" spans="1:7" ht="15" customHeight="1">
      <c r="A740" s="151" t="s">
        <v>372</v>
      </c>
      <c r="B740" s="152"/>
      <c r="C740" s="12" t="s">
        <v>373</v>
      </c>
      <c r="D740" s="12" t="s">
        <v>374</v>
      </c>
      <c r="E740" s="12" t="s">
        <v>375</v>
      </c>
      <c r="F740" s="12" t="s">
        <v>376</v>
      </c>
      <c r="G740" s="12" t="s">
        <v>377</v>
      </c>
    </row>
    <row r="741" spans="1:7" ht="15" customHeight="1">
      <c r="A741" s="13" t="s">
        <v>438</v>
      </c>
      <c r="B741" s="14" t="s">
        <v>439</v>
      </c>
      <c r="C741" s="13" t="s">
        <v>380</v>
      </c>
      <c r="D741" s="13" t="s">
        <v>381</v>
      </c>
      <c r="E741" s="15">
        <v>0.5</v>
      </c>
      <c r="F741" s="16">
        <v>9.6273999999999997</v>
      </c>
      <c r="G741" s="16">
        <v>4.8099999999999996</v>
      </c>
    </row>
    <row r="742" spans="1:7" ht="15" customHeight="1">
      <c r="A742" s="13" t="s">
        <v>378</v>
      </c>
      <c r="B742" s="14" t="s">
        <v>379</v>
      </c>
      <c r="C742" s="13" t="s">
        <v>380</v>
      </c>
      <c r="D742" s="13" t="s">
        <v>381</v>
      </c>
      <c r="E742" s="15">
        <v>0.25</v>
      </c>
      <c r="F742" s="16">
        <v>7.1327999999999996</v>
      </c>
      <c r="G742" s="16">
        <v>1.78</v>
      </c>
    </row>
    <row r="743" spans="1:7" ht="15" customHeight="1">
      <c r="A743" s="11"/>
      <c r="B743" s="11"/>
      <c r="C743" s="11"/>
      <c r="D743" s="11"/>
      <c r="E743" s="153" t="s">
        <v>382</v>
      </c>
      <c r="F743" s="154"/>
      <c r="G743" s="17">
        <v>6.59</v>
      </c>
    </row>
    <row r="744" spans="1:7" ht="15" customHeight="1">
      <c r="A744" s="151" t="s">
        <v>383</v>
      </c>
      <c r="B744" s="152"/>
      <c r="C744" s="12" t="s">
        <v>373</v>
      </c>
      <c r="D744" s="12" t="s">
        <v>374</v>
      </c>
      <c r="E744" s="12" t="s">
        <v>375</v>
      </c>
      <c r="F744" s="12" t="s">
        <v>376</v>
      </c>
      <c r="G744" s="12" t="s">
        <v>377</v>
      </c>
    </row>
    <row r="745" spans="1:7" ht="15" customHeight="1">
      <c r="A745" s="13" t="s">
        <v>698</v>
      </c>
      <c r="B745" s="14" t="s">
        <v>699</v>
      </c>
      <c r="C745" s="13" t="s">
        <v>380</v>
      </c>
      <c r="D745" s="13" t="s">
        <v>392</v>
      </c>
      <c r="E745" s="15">
        <v>1</v>
      </c>
      <c r="F745" s="16">
        <v>67.42</v>
      </c>
      <c r="G745" s="16">
        <v>67.42</v>
      </c>
    </row>
    <row r="746" spans="1:7" ht="15" customHeight="1">
      <c r="A746" s="11"/>
      <c r="B746" s="11"/>
      <c r="C746" s="11"/>
      <c r="D746" s="11"/>
      <c r="E746" s="153" t="s">
        <v>396</v>
      </c>
      <c r="F746" s="154"/>
      <c r="G746" s="17">
        <v>67.42</v>
      </c>
    </row>
    <row r="747" spans="1:7" ht="15" customHeight="1">
      <c r="A747" s="151" t="s">
        <v>414</v>
      </c>
      <c r="B747" s="152"/>
      <c r="C747" s="12" t="s">
        <v>373</v>
      </c>
      <c r="D747" s="12" t="s">
        <v>374</v>
      </c>
      <c r="E747" s="12" t="s">
        <v>375</v>
      </c>
      <c r="F747" s="12" t="s">
        <v>376</v>
      </c>
      <c r="G747" s="12" t="s">
        <v>377</v>
      </c>
    </row>
    <row r="748" spans="1:7" ht="20.100000000000001" customHeight="1">
      <c r="A748" s="13" t="s">
        <v>695</v>
      </c>
      <c r="B748" s="14" t="s">
        <v>696</v>
      </c>
      <c r="C748" s="13" t="s">
        <v>380</v>
      </c>
      <c r="D748" s="13" t="s">
        <v>427</v>
      </c>
      <c r="E748" s="15">
        <v>3.7499999999999999E-3</v>
      </c>
      <c r="F748" s="16">
        <v>501.45</v>
      </c>
      <c r="G748" s="16">
        <v>1.88</v>
      </c>
    </row>
    <row r="749" spans="1:7" ht="15" customHeight="1">
      <c r="A749" s="11"/>
      <c r="B749" s="11"/>
      <c r="C749" s="11"/>
      <c r="D749" s="11"/>
      <c r="E749" s="153" t="s">
        <v>431</v>
      </c>
      <c r="F749" s="154"/>
      <c r="G749" s="17">
        <v>1.88</v>
      </c>
    </row>
    <row r="750" spans="1:7" ht="15" customHeight="1">
      <c r="A750" s="11"/>
      <c r="B750" s="11"/>
      <c r="C750" s="11"/>
      <c r="D750" s="11"/>
      <c r="E750" s="147" t="s">
        <v>397</v>
      </c>
      <c r="F750" s="148"/>
      <c r="G750" s="18">
        <v>75.89</v>
      </c>
    </row>
    <row r="751" spans="1:7" ht="15" customHeight="1">
      <c r="A751" s="11"/>
      <c r="B751" s="11"/>
      <c r="C751" s="11"/>
      <c r="D751" s="11"/>
      <c r="E751" s="147" t="s">
        <v>398</v>
      </c>
      <c r="F751" s="148"/>
      <c r="G751" s="18">
        <v>5.86</v>
      </c>
    </row>
    <row r="752" spans="1:7" ht="15" customHeight="1">
      <c r="A752" s="11"/>
      <c r="B752" s="11"/>
      <c r="C752" s="11"/>
      <c r="D752" s="11"/>
      <c r="E752" s="147" t="s">
        <v>399</v>
      </c>
      <c r="F752" s="148"/>
      <c r="G752" s="18">
        <v>81.75</v>
      </c>
    </row>
    <row r="753" spans="1:7" ht="15" customHeight="1">
      <c r="A753" s="11"/>
      <c r="B753" s="11"/>
      <c r="C753" s="11"/>
      <c r="D753" s="11"/>
      <c r="E753" s="147" t="s">
        <v>400</v>
      </c>
      <c r="F753" s="148"/>
      <c r="G753" s="18">
        <v>19.8489</v>
      </c>
    </row>
    <row r="754" spans="1:7" ht="15" customHeight="1">
      <c r="A754" s="11"/>
      <c r="B754" s="11"/>
      <c r="C754" s="11"/>
      <c r="D754" s="11"/>
      <c r="E754" s="147" t="s">
        <v>401</v>
      </c>
      <c r="F754" s="148"/>
      <c r="G754" s="18">
        <v>101.6</v>
      </c>
    </row>
    <row r="755" spans="1:7" ht="9.9499999999999993" customHeight="1">
      <c r="A755" s="11"/>
      <c r="B755" s="11"/>
      <c r="C755" s="155" t="s">
        <v>370</v>
      </c>
      <c r="D755" s="156"/>
      <c r="E755" s="11"/>
      <c r="F755" s="11"/>
      <c r="G755" s="11"/>
    </row>
    <row r="756" spans="1:7" ht="20.100000000000001" customHeight="1">
      <c r="A756" s="149" t="s">
        <v>700</v>
      </c>
      <c r="B756" s="150"/>
      <c r="C756" s="150"/>
      <c r="D756" s="150"/>
      <c r="E756" s="150"/>
      <c r="F756" s="150"/>
      <c r="G756" s="150"/>
    </row>
    <row r="757" spans="1:7" ht="15" customHeight="1">
      <c r="A757" s="151" t="s">
        <v>372</v>
      </c>
      <c r="B757" s="152"/>
      <c r="C757" s="12" t="s">
        <v>373</v>
      </c>
      <c r="D757" s="12" t="s">
        <v>374</v>
      </c>
      <c r="E757" s="12" t="s">
        <v>375</v>
      </c>
      <c r="F757" s="12" t="s">
        <v>376</v>
      </c>
      <c r="G757" s="12" t="s">
        <v>377</v>
      </c>
    </row>
    <row r="758" spans="1:7" ht="15" customHeight="1">
      <c r="A758" s="13" t="s">
        <v>701</v>
      </c>
      <c r="B758" s="14" t="s">
        <v>702</v>
      </c>
      <c r="C758" s="13" t="s">
        <v>482</v>
      </c>
      <c r="D758" s="13" t="s">
        <v>381</v>
      </c>
      <c r="E758" s="15">
        <v>0.47399999999999998</v>
      </c>
      <c r="F758" s="16">
        <v>4.3499999999999996</v>
      </c>
      <c r="G758" s="16">
        <v>2.06</v>
      </c>
    </row>
    <row r="759" spans="1:7" ht="15" customHeight="1">
      <c r="A759" s="13" t="s">
        <v>485</v>
      </c>
      <c r="B759" s="14" t="s">
        <v>379</v>
      </c>
      <c r="C759" s="13" t="s">
        <v>482</v>
      </c>
      <c r="D759" s="13" t="s">
        <v>381</v>
      </c>
      <c r="E759" s="15">
        <v>1.32</v>
      </c>
      <c r="F759" s="16">
        <v>4.3499999999999996</v>
      </c>
      <c r="G759" s="16">
        <v>5.74</v>
      </c>
    </row>
    <row r="760" spans="1:7" ht="15" customHeight="1">
      <c r="A760" s="11"/>
      <c r="B760" s="11"/>
      <c r="C760" s="11"/>
      <c r="D760" s="11"/>
      <c r="E760" s="153" t="s">
        <v>382</v>
      </c>
      <c r="F760" s="154"/>
      <c r="G760" s="17">
        <v>7.8</v>
      </c>
    </row>
    <row r="761" spans="1:7" ht="15" customHeight="1">
      <c r="A761" s="151" t="s">
        <v>383</v>
      </c>
      <c r="B761" s="152"/>
      <c r="C761" s="12" t="s">
        <v>373</v>
      </c>
      <c r="D761" s="12" t="s">
        <v>374</v>
      </c>
      <c r="E761" s="12" t="s">
        <v>375</v>
      </c>
      <c r="F761" s="12" t="s">
        <v>376</v>
      </c>
      <c r="G761" s="12" t="s">
        <v>377</v>
      </c>
    </row>
    <row r="762" spans="1:7" ht="15" customHeight="1">
      <c r="A762" s="13" t="s">
        <v>616</v>
      </c>
      <c r="B762" s="14" t="s">
        <v>617</v>
      </c>
      <c r="C762" s="13" t="s">
        <v>482</v>
      </c>
      <c r="D762" s="13" t="s">
        <v>395</v>
      </c>
      <c r="E762" s="15">
        <v>2.86</v>
      </c>
      <c r="F762" s="16">
        <v>0.44</v>
      </c>
      <c r="G762" s="16">
        <v>1.26</v>
      </c>
    </row>
    <row r="763" spans="1:7" ht="15" customHeight="1">
      <c r="A763" s="13" t="s">
        <v>486</v>
      </c>
      <c r="B763" s="14" t="s">
        <v>487</v>
      </c>
      <c r="C763" s="13" t="s">
        <v>482</v>
      </c>
      <c r="D763" s="13" t="s">
        <v>427</v>
      </c>
      <c r="E763" s="15">
        <v>3.2000000000000001E-2</v>
      </c>
      <c r="F763" s="16">
        <v>53.6</v>
      </c>
      <c r="G763" s="16">
        <v>1.72</v>
      </c>
    </row>
    <row r="764" spans="1:7" ht="15" customHeight="1">
      <c r="A764" s="11"/>
      <c r="B764" s="11"/>
      <c r="C764" s="11"/>
      <c r="D764" s="11"/>
      <c r="E764" s="153" t="s">
        <v>396</v>
      </c>
      <c r="F764" s="154"/>
      <c r="G764" s="17">
        <v>2.98</v>
      </c>
    </row>
    <row r="765" spans="1:7" ht="15" customHeight="1">
      <c r="A765" s="11"/>
      <c r="B765" s="11"/>
      <c r="C765" s="11"/>
      <c r="D765" s="11"/>
      <c r="E765" s="147" t="s">
        <v>397</v>
      </c>
      <c r="F765" s="148"/>
      <c r="G765" s="18">
        <v>10.78</v>
      </c>
    </row>
    <row r="766" spans="1:7" ht="15" customHeight="1">
      <c r="A766" s="11"/>
      <c r="B766" s="11"/>
      <c r="C766" s="11"/>
      <c r="D766" s="11"/>
      <c r="E766" s="147" t="s">
        <v>492</v>
      </c>
      <c r="F766" s="148"/>
      <c r="G766" s="18">
        <v>9.2200000000000006</v>
      </c>
    </row>
    <row r="767" spans="1:7" ht="15" customHeight="1">
      <c r="A767" s="11"/>
      <c r="B767" s="11"/>
      <c r="C767" s="11"/>
      <c r="D767" s="11"/>
      <c r="E767" s="147" t="s">
        <v>399</v>
      </c>
      <c r="F767" s="148"/>
      <c r="G767" s="18">
        <v>20</v>
      </c>
    </row>
    <row r="768" spans="1:7" ht="15" customHeight="1">
      <c r="A768" s="11"/>
      <c r="B768" s="11"/>
      <c r="C768" s="11"/>
      <c r="D768" s="11"/>
      <c r="E768" s="147" t="s">
        <v>400</v>
      </c>
      <c r="F768" s="148"/>
      <c r="G768" s="18">
        <v>4.8559999999999999</v>
      </c>
    </row>
    <row r="769" spans="1:7" ht="15" customHeight="1">
      <c r="A769" s="11"/>
      <c r="B769" s="11"/>
      <c r="C769" s="11"/>
      <c r="D769" s="11"/>
      <c r="E769" s="147" t="s">
        <v>401</v>
      </c>
      <c r="F769" s="148"/>
      <c r="G769" s="18">
        <v>24.86</v>
      </c>
    </row>
    <row r="770" spans="1:7" ht="9.9499999999999993" customHeight="1">
      <c r="A770" s="11"/>
      <c r="B770" s="11"/>
      <c r="C770" s="155" t="s">
        <v>370</v>
      </c>
      <c r="D770" s="156"/>
      <c r="E770" s="11"/>
      <c r="F770" s="11"/>
      <c r="G770" s="11"/>
    </row>
    <row r="771" spans="1:7" customFormat="1" ht="20.100000000000001" customHeight="1">
      <c r="A771" s="165" t="s">
        <v>1224</v>
      </c>
      <c r="B771" s="166"/>
      <c r="C771" s="166"/>
      <c r="D771" s="166"/>
      <c r="E771" s="166"/>
      <c r="F771" s="166"/>
      <c r="G771" s="166"/>
    </row>
    <row r="772" spans="1:7" customFormat="1" ht="15" customHeight="1">
      <c r="A772" s="163" t="s">
        <v>372</v>
      </c>
      <c r="B772" s="164"/>
      <c r="C772" s="108" t="s">
        <v>373</v>
      </c>
      <c r="D772" s="108" t="s">
        <v>374</v>
      </c>
      <c r="E772" s="108" t="s">
        <v>375</v>
      </c>
      <c r="F772" s="108" t="s">
        <v>376</v>
      </c>
      <c r="G772" s="108" t="s">
        <v>377</v>
      </c>
    </row>
    <row r="773" spans="1:7" customFormat="1" ht="15" customHeight="1">
      <c r="A773" s="109" t="s">
        <v>481</v>
      </c>
      <c r="B773" s="110" t="s">
        <v>439</v>
      </c>
      <c r="C773" s="109" t="s">
        <v>482</v>
      </c>
      <c r="D773" s="109" t="s">
        <v>381</v>
      </c>
      <c r="E773" s="111">
        <v>0.26600000000000001</v>
      </c>
      <c r="F773" s="112">
        <v>6.6</v>
      </c>
      <c r="G773" s="112">
        <v>1.76</v>
      </c>
    </row>
    <row r="774" spans="1:7" customFormat="1" ht="15" customHeight="1">
      <c r="A774" s="109" t="s">
        <v>485</v>
      </c>
      <c r="B774" s="110" t="s">
        <v>379</v>
      </c>
      <c r="C774" s="109" t="s">
        <v>482</v>
      </c>
      <c r="D774" s="109" t="s">
        <v>381</v>
      </c>
      <c r="E774" s="111">
        <v>0.85099999999999998</v>
      </c>
      <c r="F774" s="112">
        <v>4.3499999999999996</v>
      </c>
      <c r="G774" s="112">
        <v>3.7</v>
      </c>
    </row>
    <row r="775" spans="1:7" customFormat="1" ht="15" customHeight="1">
      <c r="A775" s="113"/>
      <c r="B775" s="113"/>
      <c r="C775" s="113"/>
      <c r="D775" s="113"/>
      <c r="E775" s="161" t="s">
        <v>382</v>
      </c>
      <c r="F775" s="162"/>
      <c r="G775" s="114">
        <v>5.46</v>
      </c>
    </row>
    <row r="776" spans="1:7" customFormat="1" ht="15" customHeight="1">
      <c r="A776" s="163" t="s">
        <v>383</v>
      </c>
      <c r="B776" s="164"/>
      <c r="C776" s="108" t="s">
        <v>373</v>
      </c>
      <c r="D776" s="108" t="s">
        <v>374</v>
      </c>
      <c r="E776" s="108" t="s">
        <v>375</v>
      </c>
      <c r="F776" s="108" t="s">
        <v>376</v>
      </c>
      <c r="G776" s="108" t="s">
        <v>377</v>
      </c>
    </row>
    <row r="777" spans="1:7" customFormat="1" ht="15" customHeight="1">
      <c r="A777" s="109" t="s">
        <v>616</v>
      </c>
      <c r="B777" s="110" t="s">
        <v>617</v>
      </c>
      <c r="C777" s="109" t="s">
        <v>482</v>
      </c>
      <c r="D777" s="109" t="s">
        <v>395</v>
      </c>
      <c r="E777" s="111">
        <v>16.23</v>
      </c>
      <c r="F777" s="112">
        <v>0.44</v>
      </c>
      <c r="G777" s="112">
        <v>7.14</v>
      </c>
    </row>
    <row r="778" spans="1:7" customFormat="1" ht="15" customHeight="1">
      <c r="A778" s="109" t="s">
        <v>618</v>
      </c>
      <c r="B778" s="110" t="s">
        <v>619</v>
      </c>
      <c r="C778" s="109" t="s">
        <v>482</v>
      </c>
      <c r="D778" s="109" t="s">
        <v>427</v>
      </c>
      <c r="E778" s="111">
        <v>4.3999999999999997E-2</v>
      </c>
      <c r="F778" s="112">
        <v>71.5</v>
      </c>
      <c r="G778" s="112">
        <v>3.15</v>
      </c>
    </row>
    <row r="779" spans="1:7" customFormat="1" ht="15" customHeight="1">
      <c r="A779" s="109" t="s">
        <v>1225</v>
      </c>
      <c r="B779" s="110" t="s">
        <v>1226</v>
      </c>
      <c r="C779" s="109" t="s">
        <v>482</v>
      </c>
      <c r="D779" s="109" t="s">
        <v>427</v>
      </c>
      <c r="E779" s="111">
        <v>3.1E-2</v>
      </c>
      <c r="F779" s="112">
        <v>55</v>
      </c>
      <c r="G779" s="112">
        <v>1.71</v>
      </c>
    </row>
    <row r="780" spans="1:7" customFormat="1" ht="15" customHeight="1">
      <c r="A780" s="109" t="s">
        <v>488</v>
      </c>
      <c r="B780" s="110" t="s">
        <v>489</v>
      </c>
      <c r="C780" s="109" t="s">
        <v>482</v>
      </c>
      <c r="D780" s="109" t="s">
        <v>427</v>
      </c>
      <c r="E780" s="111">
        <v>3.1E-2</v>
      </c>
      <c r="F780" s="112">
        <v>55</v>
      </c>
      <c r="G780" s="112">
        <v>1.71</v>
      </c>
    </row>
    <row r="781" spans="1:7" customFormat="1" ht="15" customHeight="1">
      <c r="A781" s="113"/>
      <c r="B781" s="113"/>
      <c r="C781" s="113"/>
      <c r="D781" s="113"/>
      <c r="E781" s="161" t="s">
        <v>396</v>
      </c>
      <c r="F781" s="162"/>
      <c r="G781" s="114">
        <v>13.71</v>
      </c>
    </row>
    <row r="782" spans="1:7" customFormat="1" ht="15" customHeight="1">
      <c r="A782" s="113"/>
      <c r="B782" s="113"/>
      <c r="C782" s="113"/>
      <c r="D782" s="113"/>
      <c r="E782" s="159" t="s">
        <v>397</v>
      </c>
      <c r="F782" s="160"/>
      <c r="G782" s="115">
        <v>19.170000000000002</v>
      </c>
    </row>
    <row r="783" spans="1:7" customFormat="1" ht="15" customHeight="1">
      <c r="A783" s="113"/>
      <c r="B783" s="113"/>
      <c r="C783" s="113"/>
      <c r="D783" s="113"/>
      <c r="E783" s="159" t="s">
        <v>492</v>
      </c>
      <c r="F783" s="160"/>
      <c r="G783" s="115">
        <v>6.45</v>
      </c>
    </row>
    <row r="784" spans="1:7" customFormat="1" ht="15" customHeight="1">
      <c r="A784" s="113"/>
      <c r="B784" s="113"/>
      <c r="C784" s="113"/>
      <c r="D784" s="113"/>
      <c r="E784" s="159" t="s">
        <v>399</v>
      </c>
      <c r="F784" s="160"/>
      <c r="G784" s="115">
        <v>25.62</v>
      </c>
    </row>
    <row r="785" spans="1:7" customFormat="1" ht="15" customHeight="1">
      <c r="A785" s="113"/>
      <c r="B785" s="113"/>
      <c r="C785" s="113"/>
      <c r="D785" s="113"/>
      <c r="E785" s="159" t="s">
        <v>400</v>
      </c>
      <c r="F785" s="160"/>
      <c r="G785" s="115">
        <v>6.2205000000000004</v>
      </c>
    </row>
    <row r="786" spans="1:7" customFormat="1" ht="15" customHeight="1">
      <c r="A786" s="113"/>
      <c r="B786" s="113"/>
      <c r="C786" s="113"/>
      <c r="D786" s="113"/>
      <c r="E786" s="159" t="s">
        <v>401</v>
      </c>
      <c r="F786" s="160"/>
      <c r="G786" s="115">
        <v>31.84</v>
      </c>
    </row>
    <row r="787" spans="1:7" ht="9.9499999999999993" customHeight="1">
      <c r="A787" s="11"/>
      <c r="B787" s="11"/>
      <c r="C787" s="155" t="s">
        <v>370</v>
      </c>
      <c r="D787" s="156"/>
      <c r="E787" s="11"/>
      <c r="F787" s="11"/>
      <c r="G787" s="11"/>
    </row>
    <row r="788" spans="1:7" ht="20.100000000000001" customHeight="1">
      <c r="A788" s="149" t="s">
        <v>703</v>
      </c>
      <c r="B788" s="150"/>
      <c r="C788" s="150"/>
      <c r="D788" s="150"/>
      <c r="E788" s="150"/>
      <c r="F788" s="150"/>
      <c r="G788" s="150"/>
    </row>
    <row r="789" spans="1:7" ht="15" customHeight="1">
      <c r="A789" s="151" t="s">
        <v>372</v>
      </c>
      <c r="B789" s="152"/>
      <c r="C789" s="12" t="s">
        <v>373</v>
      </c>
      <c r="D789" s="12" t="s">
        <v>374</v>
      </c>
      <c r="E789" s="12" t="s">
        <v>375</v>
      </c>
      <c r="F789" s="12" t="s">
        <v>376</v>
      </c>
      <c r="G789" s="12" t="s">
        <v>377</v>
      </c>
    </row>
    <row r="790" spans="1:7" ht="15" customHeight="1">
      <c r="A790" s="13" t="s">
        <v>438</v>
      </c>
      <c r="B790" s="14" t="s">
        <v>439</v>
      </c>
      <c r="C790" s="13" t="s">
        <v>380</v>
      </c>
      <c r="D790" s="13" t="s">
        <v>381</v>
      </c>
      <c r="E790" s="15">
        <v>1</v>
      </c>
      <c r="F790" s="16">
        <v>9.6273999999999997</v>
      </c>
      <c r="G790" s="16">
        <v>9.6300000000000008</v>
      </c>
    </row>
    <row r="791" spans="1:7" ht="15" customHeight="1">
      <c r="A791" s="13" t="s">
        <v>378</v>
      </c>
      <c r="B791" s="14" t="s">
        <v>379</v>
      </c>
      <c r="C791" s="13" t="s">
        <v>380</v>
      </c>
      <c r="D791" s="13" t="s">
        <v>381</v>
      </c>
      <c r="E791" s="15">
        <v>1.1499999999999999</v>
      </c>
      <c r="F791" s="16">
        <v>7.1327999999999996</v>
      </c>
      <c r="G791" s="16">
        <v>8.1999999999999993</v>
      </c>
    </row>
    <row r="792" spans="1:7" ht="15" customHeight="1">
      <c r="A792" s="11"/>
      <c r="B792" s="11"/>
      <c r="C792" s="11"/>
      <c r="D792" s="11"/>
      <c r="E792" s="153" t="s">
        <v>382</v>
      </c>
      <c r="F792" s="154"/>
      <c r="G792" s="17">
        <v>17.829999999999998</v>
      </c>
    </row>
    <row r="793" spans="1:7" ht="15" customHeight="1">
      <c r="A793" s="151" t="s">
        <v>383</v>
      </c>
      <c r="B793" s="152"/>
      <c r="C793" s="12" t="s">
        <v>373</v>
      </c>
      <c r="D793" s="12" t="s">
        <v>374</v>
      </c>
      <c r="E793" s="12" t="s">
        <v>375</v>
      </c>
      <c r="F793" s="12" t="s">
        <v>376</v>
      </c>
      <c r="G793" s="12" t="s">
        <v>377</v>
      </c>
    </row>
    <row r="794" spans="1:7" ht="15" customHeight="1">
      <c r="A794" s="13" t="s">
        <v>652</v>
      </c>
      <c r="B794" s="14" t="s">
        <v>653</v>
      </c>
      <c r="C794" s="13" t="s">
        <v>380</v>
      </c>
      <c r="D794" s="13" t="s">
        <v>427</v>
      </c>
      <c r="E794" s="15">
        <v>1.8200000000000001E-2</v>
      </c>
      <c r="F794" s="16">
        <v>51</v>
      </c>
      <c r="G794" s="16">
        <v>0.93</v>
      </c>
    </row>
    <row r="795" spans="1:7" ht="15" customHeight="1">
      <c r="A795" s="13" t="s">
        <v>456</v>
      </c>
      <c r="B795" s="14" t="s">
        <v>457</v>
      </c>
      <c r="C795" s="13" t="s">
        <v>380</v>
      </c>
      <c r="D795" s="13" t="s">
        <v>395</v>
      </c>
      <c r="E795" s="15">
        <v>5.48</v>
      </c>
      <c r="F795" s="16">
        <v>0.46</v>
      </c>
      <c r="G795" s="16">
        <v>2.52</v>
      </c>
    </row>
    <row r="796" spans="1:7" ht="15" customHeight="1">
      <c r="A796" s="11"/>
      <c r="B796" s="11"/>
      <c r="C796" s="11"/>
      <c r="D796" s="11"/>
      <c r="E796" s="153" t="s">
        <v>396</v>
      </c>
      <c r="F796" s="154"/>
      <c r="G796" s="17">
        <v>3.45</v>
      </c>
    </row>
    <row r="797" spans="1:7" ht="15" customHeight="1">
      <c r="A797" s="11"/>
      <c r="B797" s="11"/>
      <c r="C797" s="11"/>
      <c r="D797" s="11"/>
      <c r="E797" s="147" t="s">
        <v>397</v>
      </c>
      <c r="F797" s="148"/>
      <c r="G797" s="18">
        <v>21.28</v>
      </c>
    </row>
    <row r="798" spans="1:7" ht="15" customHeight="1">
      <c r="A798" s="11"/>
      <c r="B798" s="11"/>
      <c r="C798" s="11"/>
      <c r="D798" s="11"/>
      <c r="E798" s="147" t="s">
        <v>398</v>
      </c>
      <c r="F798" s="148"/>
      <c r="G798" s="18">
        <v>15.19</v>
      </c>
    </row>
    <row r="799" spans="1:7" ht="15" customHeight="1">
      <c r="A799" s="11"/>
      <c r="B799" s="11"/>
      <c r="C799" s="11"/>
      <c r="D799" s="11"/>
      <c r="E799" s="147" t="s">
        <v>399</v>
      </c>
      <c r="F799" s="148"/>
      <c r="G799" s="18">
        <v>36.47</v>
      </c>
    </row>
    <row r="800" spans="1:7" ht="15" customHeight="1">
      <c r="A800" s="11"/>
      <c r="B800" s="11"/>
      <c r="C800" s="11"/>
      <c r="D800" s="11"/>
      <c r="E800" s="147" t="s">
        <v>400</v>
      </c>
      <c r="F800" s="148"/>
      <c r="G800" s="18">
        <v>8.8549000000000007</v>
      </c>
    </row>
    <row r="801" spans="1:7" ht="15" customHeight="1">
      <c r="A801" s="11"/>
      <c r="B801" s="11"/>
      <c r="C801" s="11"/>
      <c r="D801" s="11"/>
      <c r="E801" s="147" t="s">
        <v>401</v>
      </c>
      <c r="F801" s="148"/>
      <c r="G801" s="18">
        <v>45.32</v>
      </c>
    </row>
    <row r="802" spans="1:7" ht="9.9499999999999993" customHeight="1">
      <c r="A802" s="11"/>
      <c r="B802" s="11"/>
      <c r="C802" s="155" t="s">
        <v>370</v>
      </c>
      <c r="D802" s="156"/>
      <c r="E802" s="11"/>
      <c r="F802" s="11"/>
      <c r="G802" s="11"/>
    </row>
    <row r="803" spans="1:7" ht="20.100000000000001" customHeight="1">
      <c r="A803" s="149" t="s">
        <v>704</v>
      </c>
      <c r="B803" s="150"/>
      <c r="C803" s="150"/>
      <c r="D803" s="150"/>
      <c r="E803" s="150"/>
      <c r="F803" s="150"/>
      <c r="G803" s="150"/>
    </row>
    <row r="804" spans="1:7" ht="15" customHeight="1">
      <c r="A804" s="151" t="s">
        <v>383</v>
      </c>
      <c r="B804" s="152"/>
      <c r="C804" s="12" t="s">
        <v>373</v>
      </c>
      <c r="D804" s="12" t="s">
        <v>374</v>
      </c>
      <c r="E804" s="12" t="s">
        <v>375</v>
      </c>
      <c r="F804" s="12" t="s">
        <v>376</v>
      </c>
      <c r="G804" s="12" t="s">
        <v>377</v>
      </c>
    </row>
    <row r="805" spans="1:7" ht="20.100000000000001" customHeight="1">
      <c r="A805" s="13" t="s">
        <v>494</v>
      </c>
      <c r="B805" s="14" t="s">
        <v>495</v>
      </c>
      <c r="C805" s="13" t="s">
        <v>405</v>
      </c>
      <c r="D805" s="13" t="s">
        <v>427</v>
      </c>
      <c r="E805" s="15">
        <v>5.6800000000000003E-2</v>
      </c>
      <c r="F805" s="16">
        <v>53</v>
      </c>
      <c r="G805" s="16">
        <v>3.01</v>
      </c>
    </row>
    <row r="806" spans="1:7" ht="15" customHeight="1">
      <c r="A806" s="13" t="s">
        <v>705</v>
      </c>
      <c r="B806" s="14" t="s">
        <v>706</v>
      </c>
      <c r="C806" s="13" t="s">
        <v>405</v>
      </c>
      <c r="D806" s="13" t="s">
        <v>427</v>
      </c>
      <c r="E806" s="15">
        <v>6.4000000000000003E-3</v>
      </c>
      <c r="F806" s="16">
        <v>52.82</v>
      </c>
      <c r="G806" s="16">
        <v>0.34</v>
      </c>
    </row>
    <row r="807" spans="1:7" ht="44.1" customHeight="1">
      <c r="A807" s="13" t="s">
        <v>707</v>
      </c>
      <c r="B807" s="14" t="s">
        <v>708</v>
      </c>
      <c r="C807" s="13" t="s">
        <v>405</v>
      </c>
      <c r="D807" s="13" t="s">
        <v>386</v>
      </c>
      <c r="E807" s="15">
        <v>1.0532999999999999</v>
      </c>
      <c r="F807" s="16">
        <v>35.479999999999997</v>
      </c>
      <c r="G807" s="16">
        <v>37.369999999999997</v>
      </c>
    </row>
    <row r="808" spans="1:7" ht="15" customHeight="1">
      <c r="A808" s="11"/>
      <c r="B808" s="11"/>
      <c r="C808" s="11"/>
      <c r="D808" s="11"/>
      <c r="E808" s="153" t="s">
        <v>396</v>
      </c>
      <c r="F808" s="154"/>
      <c r="G808" s="17">
        <v>40.72</v>
      </c>
    </row>
    <row r="809" spans="1:7" ht="15" customHeight="1">
      <c r="A809" s="151" t="s">
        <v>414</v>
      </c>
      <c r="B809" s="152"/>
      <c r="C809" s="12" t="s">
        <v>373</v>
      </c>
      <c r="D809" s="12" t="s">
        <v>374</v>
      </c>
      <c r="E809" s="12" t="s">
        <v>375</v>
      </c>
      <c r="F809" s="12" t="s">
        <v>376</v>
      </c>
      <c r="G809" s="12" t="s">
        <v>377</v>
      </c>
    </row>
    <row r="810" spans="1:7" ht="15" customHeight="1">
      <c r="A810" s="13" t="s">
        <v>709</v>
      </c>
      <c r="B810" s="14" t="s">
        <v>710</v>
      </c>
      <c r="C810" s="13" t="s">
        <v>405</v>
      </c>
      <c r="D810" s="13" t="s">
        <v>381</v>
      </c>
      <c r="E810" s="15">
        <v>0.43519999999999998</v>
      </c>
      <c r="F810" s="16">
        <v>11.68</v>
      </c>
      <c r="G810" s="16">
        <v>5.08</v>
      </c>
    </row>
    <row r="811" spans="1:7" ht="15" customHeight="1">
      <c r="A811" s="13" t="s">
        <v>435</v>
      </c>
      <c r="B811" s="14" t="s">
        <v>436</v>
      </c>
      <c r="C811" s="13" t="s">
        <v>405</v>
      </c>
      <c r="D811" s="13" t="s">
        <v>381</v>
      </c>
      <c r="E811" s="15">
        <v>0.43519999999999998</v>
      </c>
      <c r="F811" s="16">
        <v>9.6300000000000008</v>
      </c>
      <c r="G811" s="16">
        <v>4.1900000000000004</v>
      </c>
    </row>
    <row r="812" spans="1:7" ht="27.95" customHeight="1">
      <c r="A812" s="13" t="s">
        <v>711</v>
      </c>
      <c r="B812" s="14" t="s">
        <v>712</v>
      </c>
      <c r="C812" s="13" t="s">
        <v>405</v>
      </c>
      <c r="D812" s="13" t="s">
        <v>421</v>
      </c>
      <c r="E812" s="15">
        <v>4.1000000000000003E-3</v>
      </c>
      <c r="F812" s="16">
        <v>4.92</v>
      </c>
      <c r="G812" s="16">
        <v>0.02</v>
      </c>
    </row>
    <row r="813" spans="1:7" ht="27.95" customHeight="1">
      <c r="A813" s="13" t="s">
        <v>713</v>
      </c>
      <c r="B813" s="14" t="s">
        <v>714</v>
      </c>
      <c r="C813" s="13" t="s">
        <v>405</v>
      </c>
      <c r="D813" s="13" t="s">
        <v>424</v>
      </c>
      <c r="E813" s="15">
        <v>0.2135</v>
      </c>
      <c r="F813" s="16">
        <v>0.57999999999999996</v>
      </c>
      <c r="G813" s="16">
        <v>0.12</v>
      </c>
    </row>
    <row r="814" spans="1:7" ht="36" customHeight="1">
      <c r="A814" s="13" t="s">
        <v>715</v>
      </c>
      <c r="B814" s="14" t="s">
        <v>716</v>
      </c>
      <c r="C814" s="13" t="s">
        <v>405</v>
      </c>
      <c r="D814" s="13" t="s">
        <v>421</v>
      </c>
      <c r="E814" s="15">
        <v>4.8300000000000003E-2</v>
      </c>
      <c r="F814" s="16">
        <v>10.75</v>
      </c>
      <c r="G814" s="16">
        <v>0.52</v>
      </c>
    </row>
    <row r="815" spans="1:7" ht="36" customHeight="1">
      <c r="A815" s="13" t="s">
        <v>717</v>
      </c>
      <c r="B815" s="14" t="s">
        <v>718</v>
      </c>
      <c r="C815" s="13" t="s">
        <v>405</v>
      </c>
      <c r="D815" s="13" t="s">
        <v>424</v>
      </c>
      <c r="E815" s="15">
        <v>0.16930000000000001</v>
      </c>
      <c r="F815" s="16">
        <v>0.84</v>
      </c>
      <c r="G815" s="16">
        <v>0.14000000000000001</v>
      </c>
    </row>
    <row r="816" spans="1:7" ht="15" customHeight="1">
      <c r="A816" s="11"/>
      <c r="B816" s="11"/>
      <c r="C816" s="11"/>
      <c r="D816" s="11"/>
      <c r="E816" s="153" t="s">
        <v>431</v>
      </c>
      <c r="F816" s="154"/>
      <c r="G816" s="17">
        <v>10.07</v>
      </c>
    </row>
    <row r="817" spans="1:7" ht="15" customHeight="1">
      <c r="A817" s="11"/>
      <c r="B817" s="11"/>
      <c r="C817" s="11"/>
      <c r="D817" s="11"/>
      <c r="E817" s="147" t="s">
        <v>397</v>
      </c>
      <c r="F817" s="148"/>
      <c r="G817" s="18">
        <v>50.79</v>
      </c>
    </row>
    <row r="818" spans="1:7" ht="15" customHeight="1">
      <c r="A818" s="11"/>
      <c r="B818" s="11"/>
      <c r="C818" s="11"/>
      <c r="D818" s="11"/>
      <c r="E818" s="147" t="s">
        <v>398</v>
      </c>
      <c r="F818" s="148"/>
      <c r="G818" s="18">
        <v>4.0599999999999996</v>
      </c>
    </row>
    <row r="819" spans="1:7" ht="15" customHeight="1">
      <c r="A819" s="11"/>
      <c r="B819" s="11"/>
      <c r="C819" s="11"/>
      <c r="D819" s="11"/>
      <c r="E819" s="147" t="s">
        <v>399</v>
      </c>
      <c r="F819" s="148"/>
      <c r="G819" s="18">
        <v>54.85</v>
      </c>
    </row>
    <row r="820" spans="1:7" ht="15" customHeight="1">
      <c r="A820" s="11"/>
      <c r="B820" s="11"/>
      <c r="C820" s="11"/>
      <c r="D820" s="11"/>
      <c r="E820" s="147" t="s">
        <v>400</v>
      </c>
      <c r="F820" s="148"/>
      <c r="G820" s="18">
        <v>13.317600000000001</v>
      </c>
    </row>
    <row r="821" spans="1:7" ht="15" customHeight="1">
      <c r="A821" s="11"/>
      <c r="B821" s="11"/>
      <c r="C821" s="11"/>
      <c r="D821" s="11"/>
      <c r="E821" s="147" t="s">
        <v>401</v>
      </c>
      <c r="F821" s="148"/>
      <c r="G821" s="18">
        <v>68.17</v>
      </c>
    </row>
    <row r="822" spans="1:7" ht="9.9499999999999993" customHeight="1">
      <c r="A822" s="11"/>
      <c r="B822" s="11"/>
      <c r="C822" s="155" t="s">
        <v>370</v>
      </c>
      <c r="D822" s="156"/>
      <c r="E822" s="11"/>
      <c r="F822" s="11"/>
      <c r="G822" s="11"/>
    </row>
    <row r="823" spans="1:7" ht="20.100000000000001" customHeight="1">
      <c r="A823" s="149" t="s">
        <v>719</v>
      </c>
      <c r="B823" s="150"/>
      <c r="C823" s="150"/>
      <c r="D823" s="150"/>
      <c r="E823" s="150"/>
      <c r="F823" s="150"/>
      <c r="G823" s="150"/>
    </row>
    <row r="824" spans="1:7" ht="15" customHeight="1">
      <c r="A824" s="151" t="s">
        <v>372</v>
      </c>
      <c r="B824" s="152"/>
      <c r="C824" s="12" t="s">
        <v>373</v>
      </c>
      <c r="D824" s="12" t="s">
        <v>374</v>
      </c>
      <c r="E824" s="12" t="s">
        <v>375</v>
      </c>
      <c r="F824" s="12" t="s">
        <v>376</v>
      </c>
      <c r="G824" s="12" t="s">
        <v>377</v>
      </c>
    </row>
    <row r="825" spans="1:7" ht="15" customHeight="1">
      <c r="A825" s="13" t="s">
        <v>660</v>
      </c>
      <c r="B825" s="14" t="s">
        <v>661</v>
      </c>
      <c r="C825" s="13" t="s">
        <v>482</v>
      </c>
      <c r="D825" s="13" t="s">
        <v>381</v>
      </c>
      <c r="E825" s="15">
        <v>0.38100000000000001</v>
      </c>
      <c r="F825" s="16">
        <v>6.6</v>
      </c>
      <c r="G825" s="16">
        <v>2.5099999999999998</v>
      </c>
    </row>
    <row r="826" spans="1:7" ht="15" customHeight="1">
      <c r="A826" s="13" t="s">
        <v>662</v>
      </c>
      <c r="B826" s="14" t="s">
        <v>663</v>
      </c>
      <c r="C826" s="13" t="s">
        <v>482</v>
      </c>
      <c r="D826" s="13" t="s">
        <v>381</v>
      </c>
      <c r="E826" s="15">
        <v>0.39200000000000002</v>
      </c>
      <c r="F826" s="16">
        <v>4.9000000000000004</v>
      </c>
      <c r="G826" s="16">
        <v>1.92</v>
      </c>
    </row>
    <row r="827" spans="1:7" ht="15" customHeight="1">
      <c r="A827" s="11"/>
      <c r="B827" s="11"/>
      <c r="C827" s="11"/>
      <c r="D827" s="11"/>
      <c r="E827" s="153" t="s">
        <v>382</v>
      </c>
      <c r="F827" s="154"/>
      <c r="G827" s="17">
        <v>4.43</v>
      </c>
    </row>
    <row r="828" spans="1:7" ht="15" customHeight="1">
      <c r="A828" s="151" t="s">
        <v>383</v>
      </c>
      <c r="B828" s="152"/>
      <c r="C828" s="12" t="s">
        <v>373</v>
      </c>
      <c r="D828" s="12" t="s">
        <v>374</v>
      </c>
      <c r="E828" s="12" t="s">
        <v>375</v>
      </c>
      <c r="F828" s="12" t="s">
        <v>376</v>
      </c>
      <c r="G828" s="12" t="s">
        <v>377</v>
      </c>
    </row>
    <row r="829" spans="1:7" ht="15" customHeight="1">
      <c r="A829" s="13" t="s">
        <v>720</v>
      </c>
      <c r="B829" s="14" t="s">
        <v>721</v>
      </c>
      <c r="C829" s="13" t="s">
        <v>482</v>
      </c>
      <c r="D829" s="13" t="s">
        <v>386</v>
      </c>
      <c r="E829" s="15">
        <v>1.1000000000000001</v>
      </c>
      <c r="F829" s="16">
        <v>113.24</v>
      </c>
      <c r="G829" s="16">
        <v>124.56</v>
      </c>
    </row>
    <row r="830" spans="1:7" ht="20.100000000000001" customHeight="1">
      <c r="A830" s="13" t="s">
        <v>666</v>
      </c>
      <c r="B830" s="14" t="s">
        <v>667</v>
      </c>
      <c r="C830" s="13" t="s">
        <v>482</v>
      </c>
      <c r="D830" s="13" t="s">
        <v>395</v>
      </c>
      <c r="E830" s="15">
        <v>0.52</v>
      </c>
      <c r="F830" s="16">
        <v>2.74</v>
      </c>
      <c r="G830" s="16">
        <v>1.42</v>
      </c>
    </row>
    <row r="831" spans="1:7" ht="15" customHeight="1">
      <c r="A831" s="13" t="s">
        <v>668</v>
      </c>
      <c r="B831" s="14" t="s">
        <v>669</v>
      </c>
      <c r="C831" s="13" t="s">
        <v>482</v>
      </c>
      <c r="D831" s="13" t="s">
        <v>395</v>
      </c>
      <c r="E831" s="15">
        <v>4.54</v>
      </c>
      <c r="F831" s="16">
        <v>0.99</v>
      </c>
      <c r="G831" s="16">
        <v>4.49</v>
      </c>
    </row>
    <row r="832" spans="1:7" ht="15" customHeight="1">
      <c r="A832" s="11"/>
      <c r="B832" s="11"/>
      <c r="C832" s="11"/>
      <c r="D832" s="11"/>
      <c r="E832" s="153" t="s">
        <v>396</v>
      </c>
      <c r="F832" s="154"/>
      <c r="G832" s="17">
        <v>130.47</v>
      </c>
    </row>
    <row r="833" spans="1:7" ht="15" customHeight="1">
      <c r="A833" s="11"/>
      <c r="B833" s="11"/>
      <c r="C833" s="11"/>
      <c r="D833" s="11"/>
      <c r="E833" s="147" t="s">
        <v>397</v>
      </c>
      <c r="F833" s="148"/>
      <c r="G833" s="18">
        <v>134.9</v>
      </c>
    </row>
    <row r="834" spans="1:7" ht="15" customHeight="1">
      <c r="A834" s="11"/>
      <c r="B834" s="11"/>
      <c r="C834" s="11"/>
      <c r="D834" s="11"/>
      <c r="E834" s="147" t="s">
        <v>492</v>
      </c>
      <c r="F834" s="148"/>
      <c r="G834" s="18">
        <v>5.24</v>
      </c>
    </row>
    <row r="835" spans="1:7" ht="15" customHeight="1">
      <c r="A835" s="11"/>
      <c r="B835" s="11"/>
      <c r="C835" s="11"/>
      <c r="D835" s="11"/>
      <c r="E835" s="147" t="s">
        <v>399</v>
      </c>
      <c r="F835" s="148"/>
      <c r="G835" s="18">
        <v>140.13999999999999</v>
      </c>
    </row>
    <row r="836" spans="1:7" ht="15" customHeight="1">
      <c r="A836" s="11"/>
      <c r="B836" s="11"/>
      <c r="C836" s="11"/>
      <c r="D836" s="11"/>
      <c r="E836" s="147" t="s">
        <v>400</v>
      </c>
      <c r="F836" s="148"/>
      <c r="G836" s="18">
        <v>34.026000000000003</v>
      </c>
    </row>
    <row r="837" spans="1:7" ht="15" customHeight="1">
      <c r="A837" s="11"/>
      <c r="B837" s="11"/>
      <c r="C837" s="11"/>
      <c r="D837" s="11"/>
      <c r="E837" s="147" t="s">
        <v>401</v>
      </c>
      <c r="F837" s="148"/>
      <c r="G837" s="18">
        <v>174.17</v>
      </c>
    </row>
    <row r="838" spans="1:7" ht="9.9499999999999993" customHeight="1">
      <c r="A838" s="11"/>
      <c r="B838" s="11"/>
      <c r="C838" s="155" t="s">
        <v>370</v>
      </c>
      <c r="D838" s="156"/>
      <c r="E838" s="11"/>
      <c r="F838" s="11"/>
      <c r="G838" s="11"/>
    </row>
    <row r="839" spans="1:7" ht="20.100000000000001" customHeight="1">
      <c r="A839" s="149" t="s">
        <v>722</v>
      </c>
      <c r="B839" s="150"/>
      <c r="C839" s="150"/>
      <c r="D839" s="150"/>
      <c r="E839" s="150"/>
      <c r="F839" s="150"/>
      <c r="G839" s="150"/>
    </row>
    <row r="840" spans="1:7" ht="9.9499999999999993" customHeight="1">
      <c r="A840" s="158"/>
      <c r="B840" s="158"/>
      <c r="C840" s="158"/>
      <c r="D840" s="158"/>
      <c r="E840" s="158"/>
      <c r="F840" s="158"/>
      <c r="G840" s="158"/>
    </row>
    <row r="841" spans="1:7" ht="15" customHeight="1">
      <c r="A841" s="11"/>
      <c r="B841" s="11"/>
      <c r="C841" s="11"/>
      <c r="D841" s="11"/>
      <c r="E841" s="147" t="s">
        <v>397</v>
      </c>
      <c r="F841" s="148"/>
      <c r="G841" s="18">
        <v>5.79</v>
      </c>
    </row>
    <row r="842" spans="1:7" ht="15" customHeight="1">
      <c r="A842" s="11"/>
      <c r="B842" s="11"/>
      <c r="C842" s="11"/>
      <c r="D842" s="11"/>
      <c r="E842" s="147" t="s">
        <v>545</v>
      </c>
      <c r="F842" s="148"/>
      <c r="G842" s="18">
        <v>0</v>
      </c>
    </row>
    <row r="843" spans="1:7" ht="15" customHeight="1">
      <c r="A843" s="11"/>
      <c r="B843" s="11"/>
      <c r="C843" s="11"/>
      <c r="D843" s="11"/>
      <c r="E843" s="147" t="s">
        <v>399</v>
      </c>
      <c r="F843" s="148"/>
      <c r="G843" s="18">
        <v>5.79</v>
      </c>
    </row>
    <row r="844" spans="1:7" ht="15" customHeight="1">
      <c r="A844" s="11"/>
      <c r="B844" s="11"/>
      <c r="C844" s="11"/>
      <c r="D844" s="11"/>
      <c r="E844" s="147" t="s">
        <v>400</v>
      </c>
      <c r="F844" s="148"/>
      <c r="G844" s="18">
        <v>1.4057999999999999</v>
      </c>
    </row>
    <row r="845" spans="1:7" ht="15" customHeight="1">
      <c r="A845" s="11"/>
      <c r="B845" s="11"/>
      <c r="C845" s="11"/>
      <c r="D845" s="11"/>
      <c r="E845" s="147" t="s">
        <v>401</v>
      </c>
      <c r="F845" s="148"/>
      <c r="G845" s="18">
        <v>7.2</v>
      </c>
    </row>
    <row r="846" spans="1:7" ht="9.9499999999999993" customHeight="1">
      <c r="A846" s="11"/>
      <c r="B846" s="11"/>
      <c r="C846" s="155" t="s">
        <v>370</v>
      </c>
      <c r="D846" s="156"/>
      <c r="E846" s="11"/>
      <c r="F846" s="11"/>
      <c r="G846" s="11"/>
    </row>
    <row r="847" spans="1:7" ht="20.100000000000001" customHeight="1">
      <c r="A847" s="149" t="s">
        <v>723</v>
      </c>
      <c r="B847" s="150"/>
      <c r="C847" s="150"/>
      <c r="D847" s="150"/>
      <c r="E847" s="150"/>
      <c r="F847" s="150"/>
      <c r="G847" s="150"/>
    </row>
    <row r="848" spans="1:7" ht="9.9499999999999993" customHeight="1">
      <c r="A848" s="158"/>
      <c r="B848" s="158"/>
      <c r="C848" s="158"/>
      <c r="D848" s="158"/>
      <c r="E848" s="158"/>
      <c r="F848" s="158"/>
      <c r="G848" s="158"/>
    </row>
    <row r="849" spans="1:7" ht="15" customHeight="1">
      <c r="A849" s="11"/>
      <c r="B849" s="11"/>
      <c r="C849" s="11"/>
      <c r="D849" s="11"/>
      <c r="E849" s="147" t="s">
        <v>397</v>
      </c>
      <c r="F849" s="148"/>
      <c r="G849" s="18">
        <v>2.58</v>
      </c>
    </row>
    <row r="850" spans="1:7" ht="15" customHeight="1">
      <c r="A850" s="11"/>
      <c r="B850" s="11"/>
      <c r="C850" s="11"/>
      <c r="D850" s="11"/>
      <c r="E850" s="147" t="s">
        <v>545</v>
      </c>
      <c r="F850" s="148"/>
      <c r="G850" s="18">
        <v>0</v>
      </c>
    </row>
    <row r="851" spans="1:7" ht="15" customHeight="1">
      <c r="A851" s="11"/>
      <c r="B851" s="11"/>
      <c r="C851" s="11"/>
      <c r="D851" s="11"/>
      <c r="E851" s="147" t="s">
        <v>399</v>
      </c>
      <c r="F851" s="148"/>
      <c r="G851" s="18">
        <v>2.58</v>
      </c>
    </row>
    <row r="852" spans="1:7" ht="15" customHeight="1">
      <c r="A852" s="11"/>
      <c r="B852" s="11"/>
      <c r="C852" s="11"/>
      <c r="D852" s="11"/>
      <c r="E852" s="147" t="s">
        <v>400</v>
      </c>
      <c r="F852" s="148"/>
      <c r="G852" s="18">
        <v>0.62639999999999996</v>
      </c>
    </row>
    <row r="853" spans="1:7" ht="15" customHeight="1">
      <c r="A853" s="11"/>
      <c r="B853" s="11"/>
      <c r="C853" s="11"/>
      <c r="D853" s="11"/>
      <c r="E853" s="147" t="s">
        <v>401</v>
      </c>
      <c r="F853" s="148"/>
      <c r="G853" s="18">
        <v>3.21</v>
      </c>
    </row>
    <row r="854" spans="1:7" ht="9.9499999999999993" customHeight="1">
      <c r="A854" s="11"/>
      <c r="B854" s="11"/>
      <c r="C854" s="155" t="s">
        <v>370</v>
      </c>
      <c r="D854" s="156"/>
      <c r="E854" s="11"/>
      <c r="F854" s="11"/>
      <c r="G854" s="11"/>
    </row>
    <row r="855" spans="1:7" ht="20.100000000000001" customHeight="1">
      <c r="A855" s="149" t="s">
        <v>724</v>
      </c>
      <c r="B855" s="150"/>
      <c r="C855" s="150"/>
      <c r="D855" s="150"/>
      <c r="E855" s="150"/>
      <c r="F855" s="150"/>
      <c r="G855" s="150"/>
    </row>
    <row r="856" spans="1:7" ht="9.9499999999999993" customHeight="1">
      <c r="A856" s="158"/>
      <c r="B856" s="158"/>
      <c r="C856" s="158"/>
      <c r="D856" s="158"/>
      <c r="E856" s="158"/>
      <c r="F856" s="158"/>
      <c r="G856" s="158"/>
    </row>
    <row r="857" spans="1:7" ht="15" customHeight="1">
      <c r="A857" s="11"/>
      <c r="B857" s="11"/>
      <c r="C857" s="11"/>
      <c r="D857" s="11"/>
      <c r="E857" s="147" t="s">
        <v>397</v>
      </c>
      <c r="F857" s="148"/>
      <c r="G857" s="18">
        <v>8.43</v>
      </c>
    </row>
    <row r="858" spans="1:7" ht="15" customHeight="1">
      <c r="A858" s="11"/>
      <c r="B858" s="11"/>
      <c r="C858" s="11"/>
      <c r="D858" s="11"/>
      <c r="E858" s="147" t="s">
        <v>545</v>
      </c>
      <c r="F858" s="148"/>
      <c r="G858" s="18">
        <v>0</v>
      </c>
    </row>
    <row r="859" spans="1:7" ht="15" customHeight="1">
      <c r="A859" s="11"/>
      <c r="B859" s="11"/>
      <c r="C859" s="11"/>
      <c r="D859" s="11"/>
      <c r="E859" s="147" t="s">
        <v>399</v>
      </c>
      <c r="F859" s="148"/>
      <c r="G859" s="18">
        <v>8.43</v>
      </c>
    </row>
    <row r="860" spans="1:7" ht="15" customHeight="1">
      <c r="A860" s="11"/>
      <c r="B860" s="11"/>
      <c r="C860" s="11"/>
      <c r="D860" s="11"/>
      <c r="E860" s="147" t="s">
        <v>400</v>
      </c>
      <c r="F860" s="148"/>
      <c r="G860" s="18">
        <v>2.0468000000000002</v>
      </c>
    </row>
    <row r="861" spans="1:7" ht="15" customHeight="1">
      <c r="A861" s="11"/>
      <c r="B861" s="11"/>
      <c r="C861" s="11"/>
      <c r="D861" s="11"/>
      <c r="E861" s="147" t="s">
        <v>401</v>
      </c>
      <c r="F861" s="148"/>
      <c r="G861" s="18">
        <v>10.48</v>
      </c>
    </row>
    <row r="862" spans="1:7" ht="9.9499999999999993" customHeight="1">
      <c r="A862" s="11"/>
      <c r="B862" s="11"/>
      <c r="C862" s="155" t="s">
        <v>370</v>
      </c>
      <c r="D862" s="156"/>
      <c r="E862" s="11"/>
      <c r="F862" s="11"/>
      <c r="G862" s="11"/>
    </row>
    <row r="863" spans="1:7" ht="20.100000000000001" customHeight="1">
      <c r="A863" s="149" t="s">
        <v>725</v>
      </c>
      <c r="B863" s="150"/>
      <c r="C863" s="150"/>
      <c r="D863" s="150"/>
      <c r="E863" s="150"/>
      <c r="F863" s="150"/>
      <c r="G863" s="150"/>
    </row>
    <row r="864" spans="1:7" ht="15" customHeight="1">
      <c r="A864" s="151" t="s">
        <v>383</v>
      </c>
      <c r="B864" s="152"/>
      <c r="C864" s="12" t="s">
        <v>373</v>
      </c>
      <c r="D864" s="12" t="s">
        <v>374</v>
      </c>
      <c r="E864" s="12" t="s">
        <v>375</v>
      </c>
      <c r="F864" s="12" t="s">
        <v>376</v>
      </c>
      <c r="G864" s="12" t="s">
        <v>377</v>
      </c>
    </row>
    <row r="865" spans="1:7" ht="15" customHeight="1">
      <c r="A865" s="13" t="s">
        <v>726</v>
      </c>
      <c r="B865" s="14" t="s">
        <v>727</v>
      </c>
      <c r="C865" s="13" t="s">
        <v>405</v>
      </c>
      <c r="D865" s="13" t="s">
        <v>430</v>
      </c>
      <c r="E865" s="15">
        <v>1.0999999999999999E-2</v>
      </c>
      <c r="F865" s="16">
        <v>36.130000000000003</v>
      </c>
      <c r="G865" s="16">
        <v>0.4</v>
      </c>
    </row>
    <row r="866" spans="1:7" ht="20.100000000000001" customHeight="1">
      <c r="A866" s="13" t="s">
        <v>728</v>
      </c>
      <c r="B866" s="14" t="s">
        <v>729</v>
      </c>
      <c r="C866" s="13" t="s">
        <v>405</v>
      </c>
      <c r="D866" s="13" t="s">
        <v>430</v>
      </c>
      <c r="E866" s="15">
        <v>1</v>
      </c>
      <c r="F866" s="16">
        <v>7.64</v>
      </c>
      <c r="G866" s="16">
        <v>7.64</v>
      </c>
    </row>
    <row r="867" spans="1:7" ht="15" customHeight="1">
      <c r="A867" s="13" t="s">
        <v>730</v>
      </c>
      <c r="B867" s="14" t="s">
        <v>731</v>
      </c>
      <c r="C867" s="13" t="s">
        <v>405</v>
      </c>
      <c r="D867" s="13" t="s">
        <v>430</v>
      </c>
      <c r="E867" s="15">
        <v>1.2E-2</v>
      </c>
      <c r="F867" s="16">
        <v>31.37</v>
      </c>
      <c r="G867" s="16">
        <v>0.38</v>
      </c>
    </row>
    <row r="868" spans="1:7" ht="15" customHeight="1">
      <c r="A868" s="13" t="s">
        <v>732</v>
      </c>
      <c r="B868" s="14" t="s">
        <v>733</v>
      </c>
      <c r="C868" s="13" t="s">
        <v>405</v>
      </c>
      <c r="D868" s="13" t="s">
        <v>430</v>
      </c>
      <c r="E868" s="15">
        <v>7.4999999999999997E-2</v>
      </c>
      <c r="F868" s="16">
        <v>1.31</v>
      </c>
      <c r="G868" s="16">
        <v>0.1</v>
      </c>
    </row>
    <row r="869" spans="1:7" ht="15" customHeight="1">
      <c r="A869" s="11"/>
      <c r="B869" s="11"/>
      <c r="C869" s="11"/>
      <c r="D869" s="11"/>
      <c r="E869" s="153" t="s">
        <v>396</v>
      </c>
      <c r="F869" s="154"/>
      <c r="G869" s="17">
        <v>8.52</v>
      </c>
    </row>
    <row r="870" spans="1:7" ht="15" customHeight="1">
      <c r="A870" s="151" t="s">
        <v>414</v>
      </c>
      <c r="B870" s="152"/>
      <c r="C870" s="12" t="s">
        <v>373</v>
      </c>
      <c r="D870" s="12" t="s">
        <v>374</v>
      </c>
      <c r="E870" s="12" t="s">
        <v>375</v>
      </c>
      <c r="F870" s="12" t="s">
        <v>376</v>
      </c>
      <c r="G870" s="12" t="s">
        <v>377</v>
      </c>
    </row>
    <row r="871" spans="1:7" ht="20.100000000000001" customHeight="1">
      <c r="A871" s="13" t="s">
        <v>734</v>
      </c>
      <c r="B871" s="14" t="s">
        <v>735</v>
      </c>
      <c r="C871" s="13" t="s">
        <v>405</v>
      </c>
      <c r="D871" s="13" t="s">
        <v>381</v>
      </c>
      <c r="E871" s="15">
        <v>0.2</v>
      </c>
      <c r="F871" s="16">
        <v>9.8000000000000007</v>
      </c>
      <c r="G871" s="16">
        <v>1.96</v>
      </c>
    </row>
    <row r="872" spans="1:7" ht="20.100000000000001" customHeight="1">
      <c r="A872" s="13" t="s">
        <v>736</v>
      </c>
      <c r="B872" s="14" t="s">
        <v>737</v>
      </c>
      <c r="C872" s="13" t="s">
        <v>405</v>
      </c>
      <c r="D872" s="13" t="s">
        <v>381</v>
      </c>
      <c r="E872" s="15">
        <v>0.2</v>
      </c>
      <c r="F872" s="16">
        <v>11.78</v>
      </c>
      <c r="G872" s="16">
        <v>2.36</v>
      </c>
    </row>
    <row r="873" spans="1:7" ht="15" customHeight="1">
      <c r="A873" s="11"/>
      <c r="B873" s="11"/>
      <c r="C873" s="11"/>
      <c r="D873" s="11"/>
      <c r="E873" s="153" t="s">
        <v>431</v>
      </c>
      <c r="F873" s="154"/>
      <c r="G873" s="17">
        <v>4.32</v>
      </c>
    </row>
    <row r="874" spans="1:7" ht="15" customHeight="1">
      <c r="A874" s="11"/>
      <c r="B874" s="11"/>
      <c r="C874" s="11"/>
      <c r="D874" s="11"/>
      <c r="E874" s="147" t="s">
        <v>397</v>
      </c>
      <c r="F874" s="148"/>
      <c r="G874" s="18">
        <v>12.84</v>
      </c>
    </row>
    <row r="875" spans="1:7" ht="15" customHeight="1">
      <c r="A875" s="11"/>
      <c r="B875" s="11"/>
      <c r="C875" s="11"/>
      <c r="D875" s="11"/>
      <c r="E875" s="147" t="s">
        <v>398</v>
      </c>
      <c r="F875" s="148"/>
      <c r="G875" s="18">
        <v>1.88</v>
      </c>
    </row>
    <row r="876" spans="1:7" ht="15" customHeight="1">
      <c r="A876" s="11"/>
      <c r="B876" s="11"/>
      <c r="C876" s="11"/>
      <c r="D876" s="11"/>
      <c r="E876" s="147" t="s">
        <v>399</v>
      </c>
      <c r="F876" s="148"/>
      <c r="G876" s="18">
        <v>14.72</v>
      </c>
    </row>
    <row r="877" spans="1:7" ht="15" customHeight="1">
      <c r="A877" s="11"/>
      <c r="B877" s="11"/>
      <c r="C877" s="11"/>
      <c r="D877" s="11"/>
      <c r="E877" s="147" t="s">
        <v>400</v>
      </c>
      <c r="F877" s="148"/>
      <c r="G877" s="18">
        <v>3.5739999999999998</v>
      </c>
    </row>
    <row r="878" spans="1:7" ht="15" customHeight="1">
      <c r="A878" s="11"/>
      <c r="B878" s="11"/>
      <c r="C878" s="11"/>
      <c r="D878" s="11"/>
      <c r="E878" s="147" t="s">
        <v>401</v>
      </c>
      <c r="F878" s="148"/>
      <c r="G878" s="18">
        <v>18.29</v>
      </c>
    </row>
    <row r="879" spans="1:7" ht="9.9499999999999993" customHeight="1">
      <c r="A879" s="11"/>
      <c r="B879" s="11"/>
      <c r="C879" s="155" t="s">
        <v>370</v>
      </c>
      <c r="D879" s="156"/>
      <c r="E879" s="11"/>
      <c r="F879" s="11"/>
      <c r="G879" s="11"/>
    </row>
    <row r="880" spans="1:7" ht="20.100000000000001" customHeight="1">
      <c r="A880" s="149" t="s">
        <v>738</v>
      </c>
      <c r="B880" s="150"/>
      <c r="C880" s="150"/>
      <c r="D880" s="150"/>
      <c r="E880" s="150"/>
      <c r="F880" s="150"/>
      <c r="G880" s="150"/>
    </row>
    <row r="881" spans="1:7" ht="15" customHeight="1">
      <c r="A881" s="151" t="s">
        <v>383</v>
      </c>
      <c r="B881" s="152"/>
      <c r="C881" s="12" t="s">
        <v>373</v>
      </c>
      <c r="D881" s="12" t="s">
        <v>374</v>
      </c>
      <c r="E881" s="12" t="s">
        <v>375</v>
      </c>
      <c r="F881" s="12" t="s">
        <v>376</v>
      </c>
      <c r="G881" s="12" t="s">
        <v>377</v>
      </c>
    </row>
    <row r="882" spans="1:7" ht="15" customHeight="1">
      <c r="A882" s="13" t="s">
        <v>726</v>
      </c>
      <c r="B882" s="14" t="s">
        <v>727</v>
      </c>
      <c r="C882" s="13" t="s">
        <v>405</v>
      </c>
      <c r="D882" s="13" t="s">
        <v>430</v>
      </c>
      <c r="E882" s="15">
        <v>7.0000000000000001E-3</v>
      </c>
      <c r="F882" s="16">
        <v>36.130000000000003</v>
      </c>
      <c r="G882" s="16">
        <v>0.25</v>
      </c>
    </row>
    <row r="883" spans="1:7" ht="20.100000000000001" customHeight="1">
      <c r="A883" s="13" t="s">
        <v>739</v>
      </c>
      <c r="B883" s="14" t="s">
        <v>740</v>
      </c>
      <c r="C883" s="13" t="s">
        <v>405</v>
      </c>
      <c r="D883" s="13" t="s">
        <v>430</v>
      </c>
      <c r="E883" s="15">
        <v>1</v>
      </c>
      <c r="F883" s="16">
        <v>5.03</v>
      </c>
      <c r="G883" s="16">
        <v>5.03</v>
      </c>
    </row>
    <row r="884" spans="1:7" ht="15" customHeight="1">
      <c r="A884" s="13" t="s">
        <v>730</v>
      </c>
      <c r="B884" s="14" t="s">
        <v>731</v>
      </c>
      <c r="C884" s="13" t="s">
        <v>405</v>
      </c>
      <c r="D884" s="13" t="s">
        <v>430</v>
      </c>
      <c r="E884" s="15">
        <v>8.0000000000000002E-3</v>
      </c>
      <c r="F884" s="16">
        <v>31.37</v>
      </c>
      <c r="G884" s="16">
        <v>0.25</v>
      </c>
    </row>
    <row r="885" spans="1:7" ht="15" customHeight="1">
      <c r="A885" s="13" t="s">
        <v>732</v>
      </c>
      <c r="B885" s="14" t="s">
        <v>733</v>
      </c>
      <c r="C885" s="13" t="s">
        <v>405</v>
      </c>
      <c r="D885" s="13" t="s">
        <v>430</v>
      </c>
      <c r="E885" s="15">
        <v>0.05</v>
      </c>
      <c r="F885" s="16">
        <v>1.31</v>
      </c>
      <c r="G885" s="16">
        <v>7.0000000000000007E-2</v>
      </c>
    </row>
    <row r="886" spans="1:7" ht="15" customHeight="1">
      <c r="A886" s="11"/>
      <c r="B886" s="11"/>
      <c r="C886" s="11"/>
      <c r="D886" s="11"/>
      <c r="E886" s="153" t="s">
        <v>396</v>
      </c>
      <c r="F886" s="154"/>
      <c r="G886" s="17">
        <v>5.6</v>
      </c>
    </row>
    <row r="887" spans="1:7" ht="15" customHeight="1">
      <c r="A887" s="151" t="s">
        <v>414</v>
      </c>
      <c r="B887" s="152"/>
      <c r="C887" s="12" t="s">
        <v>373</v>
      </c>
      <c r="D887" s="12" t="s">
        <v>374</v>
      </c>
      <c r="E887" s="12" t="s">
        <v>375</v>
      </c>
      <c r="F887" s="12" t="s">
        <v>376</v>
      </c>
      <c r="G887" s="12" t="s">
        <v>377</v>
      </c>
    </row>
    <row r="888" spans="1:7" ht="20.100000000000001" customHeight="1">
      <c r="A888" s="13" t="s">
        <v>734</v>
      </c>
      <c r="B888" s="14" t="s">
        <v>735</v>
      </c>
      <c r="C888" s="13" t="s">
        <v>405</v>
      </c>
      <c r="D888" s="13" t="s">
        <v>381</v>
      </c>
      <c r="E888" s="15">
        <v>0.15</v>
      </c>
      <c r="F888" s="16">
        <v>9.8000000000000007</v>
      </c>
      <c r="G888" s="16">
        <v>1.47</v>
      </c>
    </row>
    <row r="889" spans="1:7" ht="20.100000000000001" customHeight="1">
      <c r="A889" s="13" t="s">
        <v>736</v>
      </c>
      <c r="B889" s="14" t="s">
        <v>737</v>
      </c>
      <c r="C889" s="13" t="s">
        <v>405</v>
      </c>
      <c r="D889" s="13" t="s">
        <v>381</v>
      </c>
      <c r="E889" s="15">
        <v>0.15</v>
      </c>
      <c r="F889" s="16">
        <v>11.78</v>
      </c>
      <c r="G889" s="16">
        <v>1.77</v>
      </c>
    </row>
    <row r="890" spans="1:7" ht="15" customHeight="1">
      <c r="A890" s="11"/>
      <c r="B890" s="11"/>
      <c r="C890" s="11"/>
      <c r="D890" s="11"/>
      <c r="E890" s="153" t="s">
        <v>431</v>
      </c>
      <c r="F890" s="154"/>
      <c r="G890" s="17">
        <v>3.24</v>
      </c>
    </row>
    <row r="891" spans="1:7" ht="15" customHeight="1">
      <c r="A891" s="11"/>
      <c r="B891" s="11"/>
      <c r="C891" s="11"/>
      <c r="D891" s="11"/>
      <c r="E891" s="147" t="s">
        <v>397</v>
      </c>
      <c r="F891" s="148"/>
      <c r="G891" s="18">
        <v>8.84</v>
      </c>
    </row>
    <row r="892" spans="1:7" ht="15" customHeight="1">
      <c r="A892" s="11"/>
      <c r="B892" s="11"/>
      <c r="C892" s="11"/>
      <c r="D892" s="11"/>
      <c r="E892" s="147" t="s">
        <v>398</v>
      </c>
      <c r="F892" s="148"/>
      <c r="G892" s="18">
        <v>1.42</v>
      </c>
    </row>
    <row r="893" spans="1:7" ht="15" customHeight="1">
      <c r="A893" s="11"/>
      <c r="B893" s="11"/>
      <c r="C893" s="11"/>
      <c r="D893" s="11"/>
      <c r="E893" s="147" t="s">
        <v>399</v>
      </c>
      <c r="F893" s="148"/>
      <c r="G893" s="18">
        <v>10.26</v>
      </c>
    </row>
    <row r="894" spans="1:7" ht="15" customHeight="1">
      <c r="A894" s="11"/>
      <c r="B894" s="11"/>
      <c r="C894" s="11"/>
      <c r="D894" s="11"/>
      <c r="E894" s="147" t="s">
        <v>400</v>
      </c>
      <c r="F894" s="148"/>
      <c r="G894" s="18">
        <v>2.4910999999999999</v>
      </c>
    </row>
    <row r="895" spans="1:7" ht="15" customHeight="1">
      <c r="A895" s="11"/>
      <c r="B895" s="11"/>
      <c r="C895" s="11"/>
      <c r="D895" s="11"/>
      <c r="E895" s="147" t="s">
        <v>401</v>
      </c>
      <c r="F895" s="148"/>
      <c r="G895" s="18">
        <v>12.75</v>
      </c>
    </row>
    <row r="896" spans="1:7" ht="9.9499999999999993" customHeight="1">
      <c r="A896" s="11"/>
      <c r="B896" s="11"/>
      <c r="C896" s="155" t="s">
        <v>370</v>
      </c>
      <c r="D896" s="156"/>
      <c r="E896" s="11"/>
      <c r="F896" s="11"/>
      <c r="G896" s="11"/>
    </row>
    <row r="897" spans="1:7" ht="20.100000000000001" customHeight="1">
      <c r="A897" s="149" t="s">
        <v>741</v>
      </c>
      <c r="B897" s="150"/>
      <c r="C897" s="150"/>
      <c r="D897" s="150"/>
      <c r="E897" s="150"/>
      <c r="F897" s="150"/>
      <c r="G897" s="150"/>
    </row>
    <row r="898" spans="1:7" ht="9.9499999999999993" customHeight="1">
      <c r="A898" s="158"/>
      <c r="B898" s="158"/>
      <c r="C898" s="158"/>
      <c r="D898" s="158"/>
      <c r="E898" s="158"/>
      <c r="F898" s="158"/>
      <c r="G898" s="158"/>
    </row>
    <row r="899" spans="1:7" ht="15" customHeight="1">
      <c r="A899" s="11"/>
      <c r="B899" s="11"/>
      <c r="C899" s="11"/>
      <c r="D899" s="11"/>
      <c r="E899" s="147" t="s">
        <v>397</v>
      </c>
      <c r="F899" s="148"/>
      <c r="G899" s="18">
        <v>1.52</v>
      </c>
    </row>
    <row r="900" spans="1:7" ht="15" customHeight="1">
      <c r="A900" s="11"/>
      <c r="B900" s="11"/>
      <c r="C900" s="11"/>
      <c r="D900" s="11"/>
      <c r="E900" s="147" t="s">
        <v>545</v>
      </c>
      <c r="F900" s="148"/>
      <c r="G900" s="18">
        <v>0</v>
      </c>
    </row>
    <row r="901" spans="1:7" ht="15" customHeight="1">
      <c r="A901" s="11"/>
      <c r="B901" s="11"/>
      <c r="C901" s="11"/>
      <c r="D901" s="11"/>
      <c r="E901" s="147" t="s">
        <v>399</v>
      </c>
      <c r="F901" s="148"/>
      <c r="G901" s="18">
        <v>1.52</v>
      </c>
    </row>
    <row r="902" spans="1:7" ht="15" customHeight="1">
      <c r="A902" s="11"/>
      <c r="B902" s="11"/>
      <c r="C902" s="11"/>
      <c r="D902" s="11"/>
      <c r="E902" s="147" t="s">
        <v>400</v>
      </c>
      <c r="F902" s="148"/>
      <c r="G902" s="18">
        <v>0.36909999999999998</v>
      </c>
    </row>
    <row r="903" spans="1:7" ht="15" customHeight="1">
      <c r="A903" s="11"/>
      <c r="B903" s="11"/>
      <c r="C903" s="11"/>
      <c r="D903" s="11"/>
      <c r="E903" s="147" t="s">
        <v>401</v>
      </c>
      <c r="F903" s="148"/>
      <c r="G903" s="18">
        <v>1.89</v>
      </c>
    </row>
    <row r="904" spans="1:7" ht="9.9499999999999993" customHeight="1">
      <c r="A904" s="11"/>
      <c r="B904" s="11"/>
      <c r="C904" s="155" t="s">
        <v>370</v>
      </c>
      <c r="D904" s="156"/>
      <c r="E904" s="11"/>
      <c r="F904" s="11"/>
      <c r="G904" s="11"/>
    </row>
    <row r="905" spans="1:7" ht="20.100000000000001" customHeight="1">
      <c r="A905" s="149" t="s">
        <v>742</v>
      </c>
      <c r="B905" s="150"/>
      <c r="C905" s="150"/>
      <c r="D905" s="150"/>
      <c r="E905" s="150"/>
      <c r="F905" s="150"/>
      <c r="G905" s="150"/>
    </row>
    <row r="906" spans="1:7" ht="9.9499999999999993" customHeight="1">
      <c r="A906" s="158"/>
      <c r="B906" s="158"/>
      <c r="C906" s="158"/>
      <c r="D906" s="158"/>
      <c r="E906" s="158"/>
      <c r="F906" s="158"/>
      <c r="G906" s="158"/>
    </row>
    <row r="907" spans="1:7" ht="15" customHeight="1">
      <c r="A907" s="11"/>
      <c r="B907" s="11"/>
      <c r="C907" s="11"/>
      <c r="D907" s="11"/>
      <c r="E907" s="147" t="s">
        <v>397</v>
      </c>
      <c r="F907" s="148"/>
      <c r="G907" s="18">
        <v>3.6</v>
      </c>
    </row>
    <row r="908" spans="1:7" ht="15" customHeight="1">
      <c r="A908" s="11"/>
      <c r="B908" s="11"/>
      <c r="C908" s="11"/>
      <c r="D908" s="11"/>
      <c r="E908" s="147" t="s">
        <v>545</v>
      </c>
      <c r="F908" s="148"/>
      <c r="G908" s="18">
        <v>0</v>
      </c>
    </row>
    <row r="909" spans="1:7" ht="15" customHeight="1">
      <c r="A909" s="11"/>
      <c r="B909" s="11"/>
      <c r="C909" s="11"/>
      <c r="D909" s="11"/>
      <c r="E909" s="147" t="s">
        <v>399</v>
      </c>
      <c r="F909" s="148"/>
      <c r="G909" s="18">
        <v>3.6</v>
      </c>
    </row>
    <row r="910" spans="1:7" ht="15" customHeight="1">
      <c r="A910" s="11"/>
      <c r="B910" s="11"/>
      <c r="C910" s="11"/>
      <c r="D910" s="11"/>
      <c r="E910" s="147" t="s">
        <v>400</v>
      </c>
      <c r="F910" s="148"/>
      <c r="G910" s="18">
        <v>0.87409999999999999</v>
      </c>
    </row>
    <row r="911" spans="1:7" ht="15" customHeight="1">
      <c r="A911" s="11"/>
      <c r="B911" s="11"/>
      <c r="C911" s="11"/>
      <c r="D911" s="11"/>
      <c r="E911" s="147" t="s">
        <v>401</v>
      </c>
      <c r="F911" s="148"/>
      <c r="G911" s="18">
        <v>4.47</v>
      </c>
    </row>
    <row r="912" spans="1:7" ht="9.9499999999999993" customHeight="1">
      <c r="A912" s="11"/>
      <c r="B912" s="11"/>
      <c r="C912" s="155" t="s">
        <v>370</v>
      </c>
      <c r="D912" s="156"/>
      <c r="E912" s="11"/>
      <c r="F912" s="11"/>
      <c r="G912" s="11"/>
    </row>
    <row r="913" spans="1:7" ht="20.100000000000001" customHeight="1">
      <c r="A913" s="149" t="s">
        <v>743</v>
      </c>
      <c r="B913" s="150"/>
      <c r="C913" s="150"/>
      <c r="D913" s="150"/>
      <c r="E913" s="150"/>
      <c r="F913" s="150"/>
      <c r="G913" s="150"/>
    </row>
    <row r="914" spans="1:7" ht="9.9499999999999993" customHeight="1">
      <c r="A914" s="158"/>
      <c r="B914" s="158"/>
      <c r="C914" s="158"/>
      <c r="D914" s="158"/>
      <c r="E914" s="158"/>
      <c r="F914" s="158"/>
      <c r="G914" s="158"/>
    </row>
    <row r="915" spans="1:7" ht="15" customHeight="1">
      <c r="A915" s="11"/>
      <c r="B915" s="11"/>
      <c r="C915" s="11"/>
      <c r="D915" s="11"/>
      <c r="E915" s="147" t="s">
        <v>397</v>
      </c>
      <c r="F915" s="148"/>
      <c r="G915" s="18">
        <v>0.51</v>
      </c>
    </row>
    <row r="916" spans="1:7" ht="15" customHeight="1">
      <c r="A916" s="11"/>
      <c r="B916" s="11"/>
      <c r="C916" s="11"/>
      <c r="D916" s="11"/>
      <c r="E916" s="147" t="s">
        <v>545</v>
      </c>
      <c r="F916" s="148"/>
      <c r="G916" s="18">
        <v>0</v>
      </c>
    </row>
    <row r="917" spans="1:7" ht="15" customHeight="1">
      <c r="A917" s="11"/>
      <c r="B917" s="11"/>
      <c r="C917" s="11"/>
      <c r="D917" s="11"/>
      <c r="E917" s="147" t="s">
        <v>399</v>
      </c>
      <c r="F917" s="148"/>
      <c r="G917" s="18">
        <v>0.51</v>
      </c>
    </row>
    <row r="918" spans="1:7" ht="15" customHeight="1">
      <c r="A918" s="11"/>
      <c r="B918" s="11"/>
      <c r="C918" s="11"/>
      <c r="D918" s="11"/>
      <c r="E918" s="147" t="s">
        <v>400</v>
      </c>
      <c r="F918" s="148"/>
      <c r="G918" s="18">
        <v>0.12379999999999999</v>
      </c>
    </row>
    <row r="919" spans="1:7" ht="15" customHeight="1">
      <c r="A919" s="11"/>
      <c r="B919" s="11"/>
      <c r="C919" s="11"/>
      <c r="D919" s="11"/>
      <c r="E919" s="147" t="s">
        <v>401</v>
      </c>
      <c r="F919" s="148"/>
      <c r="G919" s="18">
        <v>0.63</v>
      </c>
    </row>
    <row r="920" spans="1:7" ht="9.9499999999999993" customHeight="1">
      <c r="A920" s="11"/>
      <c r="B920" s="11"/>
      <c r="C920" s="155" t="s">
        <v>370</v>
      </c>
      <c r="D920" s="156"/>
      <c r="E920" s="11"/>
      <c r="F920" s="11"/>
      <c r="G920" s="11"/>
    </row>
    <row r="921" spans="1:7" ht="20.100000000000001" customHeight="1">
      <c r="A921" s="149" t="s">
        <v>744</v>
      </c>
      <c r="B921" s="150"/>
      <c r="C921" s="150"/>
      <c r="D921" s="150"/>
      <c r="E921" s="150"/>
      <c r="F921" s="150"/>
      <c r="G921" s="150"/>
    </row>
    <row r="922" spans="1:7" ht="15" customHeight="1">
      <c r="A922" s="151" t="s">
        <v>372</v>
      </c>
      <c r="B922" s="152"/>
      <c r="C922" s="12" t="s">
        <v>373</v>
      </c>
      <c r="D922" s="12" t="s">
        <v>374</v>
      </c>
      <c r="E922" s="12" t="s">
        <v>375</v>
      </c>
      <c r="F922" s="12" t="s">
        <v>376</v>
      </c>
      <c r="G922" s="12" t="s">
        <v>377</v>
      </c>
    </row>
    <row r="923" spans="1:7" ht="15" customHeight="1">
      <c r="A923" s="13" t="s">
        <v>745</v>
      </c>
      <c r="B923" s="14" t="s">
        <v>746</v>
      </c>
      <c r="C923" s="13" t="s">
        <v>380</v>
      </c>
      <c r="D923" s="13" t="s">
        <v>381</v>
      </c>
      <c r="E923" s="15">
        <v>0.61</v>
      </c>
      <c r="F923" s="16">
        <v>7.8402000000000003</v>
      </c>
      <c r="G923" s="16">
        <v>4.78</v>
      </c>
    </row>
    <row r="924" spans="1:7" ht="15" customHeight="1">
      <c r="A924" s="13" t="s">
        <v>747</v>
      </c>
      <c r="B924" s="14" t="s">
        <v>748</v>
      </c>
      <c r="C924" s="13" t="s">
        <v>380</v>
      </c>
      <c r="D924" s="13" t="s">
        <v>381</v>
      </c>
      <c r="E924" s="15">
        <v>0.61</v>
      </c>
      <c r="F924" s="16">
        <v>9.6273999999999997</v>
      </c>
      <c r="G924" s="16">
        <v>5.87</v>
      </c>
    </row>
    <row r="925" spans="1:7" ht="15" customHeight="1">
      <c r="A925" s="11"/>
      <c r="B925" s="11"/>
      <c r="C925" s="11"/>
      <c r="D925" s="11"/>
      <c r="E925" s="153" t="s">
        <v>382</v>
      </c>
      <c r="F925" s="154"/>
      <c r="G925" s="17">
        <v>10.65</v>
      </c>
    </row>
    <row r="926" spans="1:7" ht="15" customHeight="1">
      <c r="A926" s="151" t="s">
        <v>383</v>
      </c>
      <c r="B926" s="152"/>
      <c r="C926" s="12" t="s">
        <v>373</v>
      </c>
      <c r="D926" s="12" t="s">
        <v>374</v>
      </c>
      <c r="E926" s="12" t="s">
        <v>375</v>
      </c>
      <c r="F926" s="12" t="s">
        <v>376</v>
      </c>
      <c r="G926" s="12" t="s">
        <v>377</v>
      </c>
    </row>
    <row r="927" spans="1:7" ht="15" customHeight="1">
      <c r="A927" s="13" t="s">
        <v>749</v>
      </c>
      <c r="B927" s="14" t="s">
        <v>750</v>
      </c>
      <c r="C927" s="13" t="s">
        <v>380</v>
      </c>
      <c r="D927" s="13" t="s">
        <v>392</v>
      </c>
      <c r="E927" s="15">
        <v>0.94</v>
      </c>
      <c r="F927" s="16">
        <v>0.2</v>
      </c>
      <c r="G927" s="16">
        <v>0.19</v>
      </c>
    </row>
    <row r="928" spans="1:7" ht="15" customHeight="1">
      <c r="A928" s="13" t="s">
        <v>751</v>
      </c>
      <c r="B928" s="14" t="s">
        <v>752</v>
      </c>
      <c r="C928" s="13" t="s">
        <v>380</v>
      </c>
      <c r="D928" s="13" t="s">
        <v>430</v>
      </c>
      <c r="E928" s="15">
        <v>1</v>
      </c>
      <c r="F928" s="16">
        <v>63.03</v>
      </c>
      <c r="G928" s="16">
        <v>63.03</v>
      </c>
    </row>
    <row r="929" spans="1:7" ht="15" customHeight="1">
      <c r="A929" s="11"/>
      <c r="B929" s="11"/>
      <c r="C929" s="11"/>
      <c r="D929" s="11"/>
      <c r="E929" s="153" t="s">
        <v>396</v>
      </c>
      <c r="F929" s="154"/>
      <c r="G929" s="17">
        <v>63.22</v>
      </c>
    </row>
    <row r="930" spans="1:7" ht="15" customHeight="1">
      <c r="A930" s="11"/>
      <c r="B930" s="11"/>
      <c r="C930" s="11"/>
      <c r="D930" s="11"/>
      <c r="E930" s="147" t="s">
        <v>397</v>
      </c>
      <c r="F930" s="148"/>
      <c r="G930" s="18">
        <v>73.87</v>
      </c>
    </row>
    <row r="931" spans="1:7" ht="15" customHeight="1">
      <c r="A931" s="11"/>
      <c r="B931" s="11"/>
      <c r="C931" s="11"/>
      <c r="D931" s="11"/>
      <c r="E931" s="147" t="s">
        <v>398</v>
      </c>
      <c r="F931" s="148"/>
      <c r="G931" s="18">
        <v>9.08</v>
      </c>
    </row>
    <row r="932" spans="1:7" ht="15" customHeight="1">
      <c r="A932" s="11"/>
      <c r="B932" s="11"/>
      <c r="C932" s="11"/>
      <c r="D932" s="11"/>
      <c r="E932" s="147" t="s">
        <v>399</v>
      </c>
      <c r="F932" s="148"/>
      <c r="G932" s="18">
        <v>82.95</v>
      </c>
    </row>
    <row r="933" spans="1:7" ht="15" customHeight="1">
      <c r="A933" s="11"/>
      <c r="B933" s="11"/>
      <c r="C933" s="11"/>
      <c r="D933" s="11"/>
      <c r="E933" s="147" t="s">
        <v>400</v>
      </c>
      <c r="F933" s="148"/>
      <c r="G933" s="18">
        <v>20.1403</v>
      </c>
    </row>
    <row r="934" spans="1:7" ht="15" customHeight="1">
      <c r="A934" s="11"/>
      <c r="B934" s="11"/>
      <c r="C934" s="11"/>
      <c r="D934" s="11"/>
      <c r="E934" s="147" t="s">
        <v>401</v>
      </c>
      <c r="F934" s="148"/>
      <c r="G934" s="18">
        <v>103.09</v>
      </c>
    </row>
    <row r="935" spans="1:7" ht="9.9499999999999993" customHeight="1">
      <c r="A935" s="11"/>
      <c r="B935" s="11"/>
      <c r="C935" s="155" t="s">
        <v>370</v>
      </c>
      <c r="D935" s="156"/>
      <c r="E935" s="11"/>
      <c r="F935" s="11"/>
      <c r="G935" s="11"/>
    </row>
    <row r="936" spans="1:7" ht="20.100000000000001" customHeight="1">
      <c r="A936" s="149" t="s">
        <v>753</v>
      </c>
      <c r="B936" s="150"/>
      <c r="C936" s="150"/>
      <c r="D936" s="150"/>
      <c r="E936" s="150"/>
      <c r="F936" s="150"/>
      <c r="G936" s="150"/>
    </row>
    <row r="937" spans="1:7" ht="15" customHeight="1">
      <c r="A937" s="151" t="s">
        <v>383</v>
      </c>
      <c r="B937" s="152"/>
      <c r="C937" s="12" t="s">
        <v>373</v>
      </c>
      <c r="D937" s="12" t="s">
        <v>374</v>
      </c>
      <c r="E937" s="12" t="s">
        <v>375</v>
      </c>
      <c r="F937" s="12" t="s">
        <v>376</v>
      </c>
      <c r="G937" s="12" t="s">
        <v>377</v>
      </c>
    </row>
    <row r="938" spans="1:7" ht="20.100000000000001" customHeight="1">
      <c r="A938" s="13" t="s">
        <v>754</v>
      </c>
      <c r="B938" s="14" t="s">
        <v>755</v>
      </c>
      <c r="C938" s="13" t="s">
        <v>405</v>
      </c>
      <c r="D938" s="13" t="s">
        <v>430</v>
      </c>
      <c r="E938" s="15">
        <v>2</v>
      </c>
      <c r="F938" s="16">
        <v>1.26</v>
      </c>
      <c r="G938" s="16">
        <v>2.52</v>
      </c>
    </row>
    <row r="939" spans="1:7" ht="20.100000000000001" customHeight="1">
      <c r="A939" s="13" t="s">
        <v>756</v>
      </c>
      <c r="B939" s="14" t="s">
        <v>757</v>
      </c>
      <c r="C939" s="13" t="s">
        <v>405</v>
      </c>
      <c r="D939" s="13" t="s">
        <v>430</v>
      </c>
      <c r="E939" s="15">
        <v>1</v>
      </c>
      <c r="F939" s="16">
        <v>3.67</v>
      </c>
      <c r="G939" s="16">
        <v>3.67</v>
      </c>
    </row>
    <row r="940" spans="1:7" ht="20.100000000000001" customHeight="1">
      <c r="A940" s="13" t="s">
        <v>758</v>
      </c>
      <c r="B940" s="14" t="s">
        <v>759</v>
      </c>
      <c r="C940" s="13" t="s">
        <v>405</v>
      </c>
      <c r="D940" s="13" t="s">
        <v>430</v>
      </c>
      <c r="E940" s="15">
        <v>2</v>
      </c>
      <c r="F940" s="16">
        <v>1.52</v>
      </c>
      <c r="G940" s="16">
        <v>3.04</v>
      </c>
    </row>
    <row r="941" spans="1:7" ht="20.100000000000001" customHeight="1">
      <c r="A941" s="13" t="s">
        <v>760</v>
      </c>
      <c r="B941" s="14" t="s">
        <v>761</v>
      </c>
      <c r="C941" s="13" t="s">
        <v>405</v>
      </c>
      <c r="D941" s="13" t="s">
        <v>430</v>
      </c>
      <c r="E941" s="15">
        <v>2</v>
      </c>
      <c r="F941" s="16">
        <v>3.9</v>
      </c>
      <c r="G941" s="16">
        <v>7.8</v>
      </c>
    </row>
    <row r="942" spans="1:7" ht="20.100000000000001" customHeight="1">
      <c r="A942" s="13" t="s">
        <v>762</v>
      </c>
      <c r="B942" s="14" t="s">
        <v>763</v>
      </c>
      <c r="C942" s="13" t="s">
        <v>405</v>
      </c>
      <c r="D942" s="13" t="s">
        <v>430</v>
      </c>
      <c r="E942" s="15">
        <v>1</v>
      </c>
      <c r="F942" s="16">
        <v>44.07</v>
      </c>
      <c r="G942" s="16">
        <v>44.07</v>
      </c>
    </row>
    <row r="943" spans="1:7" ht="15" customHeight="1">
      <c r="A943" s="13" t="s">
        <v>764</v>
      </c>
      <c r="B943" s="14" t="s">
        <v>765</v>
      </c>
      <c r="C943" s="13" t="s">
        <v>405</v>
      </c>
      <c r="D943" s="13" t="s">
        <v>392</v>
      </c>
      <c r="E943" s="15">
        <v>3.0251999999999999</v>
      </c>
      <c r="F943" s="16">
        <v>5.79</v>
      </c>
      <c r="G943" s="16">
        <v>17.52</v>
      </c>
    </row>
    <row r="944" spans="1:7" ht="15" customHeight="1">
      <c r="A944" s="13" t="s">
        <v>766</v>
      </c>
      <c r="B944" s="14" t="s">
        <v>767</v>
      </c>
      <c r="C944" s="13" t="s">
        <v>405</v>
      </c>
      <c r="D944" s="13" t="s">
        <v>392</v>
      </c>
      <c r="E944" s="15">
        <v>0.95530000000000004</v>
      </c>
      <c r="F944" s="16">
        <v>9.66</v>
      </c>
      <c r="G944" s="16">
        <v>9.23</v>
      </c>
    </row>
    <row r="945" spans="1:7" ht="15" customHeight="1">
      <c r="A945" s="13" t="s">
        <v>768</v>
      </c>
      <c r="B945" s="14" t="s">
        <v>769</v>
      </c>
      <c r="C945" s="13" t="s">
        <v>405</v>
      </c>
      <c r="D945" s="13" t="s">
        <v>430</v>
      </c>
      <c r="E945" s="15">
        <v>0.51039999999999996</v>
      </c>
      <c r="F945" s="16">
        <v>11.46</v>
      </c>
      <c r="G945" s="16">
        <v>5.85</v>
      </c>
    </row>
    <row r="946" spans="1:7" ht="15" customHeight="1">
      <c r="A946" s="13" t="s">
        <v>730</v>
      </c>
      <c r="B946" s="14" t="s">
        <v>731</v>
      </c>
      <c r="C946" s="13" t="s">
        <v>405</v>
      </c>
      <c r="D946" s="13" t="s">
        <v>430</v>
      </c>
      <c r="E946" s="15">
        <v>0.127</v>
      </c>
      <c r="F946" s="16">
        <v>31.37</v>
      </c>
      <c r="G946" s="16">
        <v>3.98</v>
      </c>
    </row>
    <row r="947" spans="1:7" ht="15" customHeight="1">
      <c r="A947" s="13" t="s">
        <v>732</v>
      </c>
      <c r="B947" s="14" t="s">
        <v>733</v>
      </c>
      <c r="C947" s="13" t="s">
        <v>405</v>
      </c>
      <c r="D947" s="13" t="s">
        <v>430</v>
      </c>
      <c r="E947" s="15">
        <v>0.49</v>
      </c>
      <c r="F947" s="16">
        <v>1.31</v>
      </c>
      <c r="G947" s="16">
        <v>0.64</v>
      </c>
    </row>
    <row r="948" spans="1:7" ht="15" customHeight="1">
      <c r="A948" s="11"/>
      <c r="B948" s="11"/>
      <c r="C948" s="11"/>
      <c r="D948" s="11"/>
      <c r="E948" s="153" t="s">
        <v>396</v>
      </c>
      <c r="F948" s="154"/>
      <c r="G948" s="17">
        <v>98.32</v>
      </c>
    </row>
    <row r="949" spans="1:7" ht="15" customHeight="1">
      <c r="A949" s="151" t="s">
        <v>414</v>
      </c>
      <c r="B949" s="152"/>
      <c r="C949" s="12" t="s">
        <v>373</v>
      </c>
      <c r="D949" s="12" t="s">
        <v>374</v>
      </c>
      <c r="E949" s="12" t="s">
        <v>375</v>
      </c>
      <c r="F949" s="12" t="s">
        <v>376</v>
      </c>
      <c r="G949" s="12" t="s">
        <v>377</v>
      </c>
    </row>
    <row r="950" spans="1:7" ht="20.100000000000001" customHeight="1">
      <c r="A950" s="13" t="s">
        <v>734</v>
      </c>
      <c r="B950" s="14" t="s">
        <v>735</v>
      </c>
      <c r="C950" s="13" t="s">
        <v>405</v>
      </c>
      <c r="D950" s="13" t="s">
        <v>381</v>
      </c>
      <c r="E950" s="15">
        <v>1.6113999999999999</v>
      </c>
      <c r="F950" s="16">
        <v>9.8000000000000007</v>
      </c>
      <c r="G950" s="16">
        <v>15.79</v>
      </c>
    </row>
    <row r="951" spans="1:7" ht="20.100000000000001" customHeight="1">
      <c r="A951" s="13" t="s">
        <v>736</v>
      </c>
      <c r="B951" s="14" t="s">
        <v>737</v>
      </c>
      <c r="C951" s="13" t="s">
        <v>405</v>
      </c>
      <c r="D951" s="13" t="s">
        <v>381</v>
      </c>
      <c r="E951" s="15">
        <v>1.6113999999999999</v>
      </c>
      <c r="F951" s="16">
        <v>11.78</v>
      </c>
      <c r="G951" s="16">
        <v>18.98</v>
      </c>
    </row>
    <row r="952" spans="1:7" ht="15" customHeight="1">
      <c r="A952" s="11"/>
      <c r="B952" s="11"/>
      <c r="C952" s="11"/>
      <c r="D952" s="11"/>
      <c r="E952" s="153" t="s">
        <v>431</v>
      </c>
      <c r="F952" s="154"/>
      <c r="G952" s="17">
        <v>34.770000000000003</v>
      </c>
    </row>
    <row r="953" spans="1:7" ht="15" customHeight="1">
      <c r="A953" s="11"/>
      <c r="B953" s="11"/>
      <c r="C953" s="11"/>
      <c r="D953" s="11"/>
      <c r="E953" s="147" t="s">
        <v>397</v>
      </c>
      <c r="F953" s="148"/>
      <c r="G953" s="18">
        <v>133.09</v>
      </c>
    </row>
    <row r="954" spans="1:7" ht="15" customHeight="1">
      <c r="A954" s="11"/>
      <c r="B954" s="11"/>
      <c r="C954" s="11"/>
      <c r="D954" s="11"/>
      <c r="E954" s="147" t="s">
        <v>398</v>
      </c>
      <c r="F954" s="148"/>
      <c r="G954" s="18">
        <v>15.5</v>
      </c>
    </row>
    <row r="955" spans="1:7" ht="15" customHeight="1">
      <c r="A955" s="11"/>
      <c r="B955" s="11"/>
      <c r="C955" s="11"/>
      <c r="D955" s="11"/>
      <c r="E955" s="147" t="s">
        <v>399</v>
      </c>
      <c r="F955" s="148"/>
      <c r="G955" s="18">
        <v>148.59</v>
      </c>
    </row>
    <row r="956" spans="1:7" ht="15" customHeight="1">
      <c r="A956" s="11"/>
      <c r="B956" s="11"/>
      <c r="C956" s="11"/>
      <c r="D956" s="11"/>
      <c r="E956" s="147" t="s">
        <v>400</v>
      </c>
      <c r="F956" s="148"/>
      <c r="G956" s="18">
        <v>36.0777</v>
      </c>
    </row>
    <row r="957" spans="1:7" ht="15" customHeight="1">
      <c r="A957" s="11"/>
      <c r="B957" s="11"/>
      <c r="C957" s="11"/>
      <c r="D957" s="11"/>
      <c r="E957" s="147" t="s">
        <v>401</v>
      </c>
      <c r="F957" s="148"/>
      <c r="G957" s="18">
        <v>184.67</v>
      </c>
    </row>
    <row r="958" spans="1:7" ht="9.9499999999999993" customHeight="1">
      <c r="A958" s="11"/>
      <c r="B958" s="11"/>
      <c r="C958" s="155" t="s">
        <v>370</v>
      </c>
      <c r="D958" s="156"/>
      <c r="E958" s="11"/>
      <c r="F958" s="11"/>
      <c r="G958" s="11"/>
    </row>
    <row r="959" spans="1:7" ht="20.100000000000001" customHeight="1">
      <c r="A959" s="149" t="s">
        <v>770</v>
      </c>
      <c r="B959" s="150"/>
      <c r="C959" s="150"/>
      <c r="D959" s="150"/>
      <c r="E959" s="150"/>
      <c r="F959" s="150"/>
      <c r="G959" s="150"/>
    </row>
    <row r="960" spans="1:7" ht="15" customHeight="1">
      <c r="A960" s="151" t="s">
        <v>372</v>
      </c>
      <c r="B960" s="152"/>
      <c r="C960" s="12" t="s">
        <v>373</v>
      </c>
      <c r="D960" s="12" t="s">
        <v>374</v>
      </c>
      <c r="E960" s="12" t="s">
        <v>375</v>
      </c>
      <c r="F960" s="12" t="s">
        <v>376</v>
      </c>
      <c r="G960" s="12" t="s">
        <v>377</v>
      </c>
    </row>
    <row r="961" spans="1:7" ht="15" customHeight="1">
      <c r="A961" s="13" t="s">
        <v>745</v>
      </c>
      <c r="B961" s="14" t="s">
        <v>746</v>
      </c>
      <c r="C961" s="13" t="s">
        <v>380</v>
      </c>
      <c r="D961" s="13" t="s">
        <v>381</v>
      </c>
      <c r="E961" s="15">
        <v>0.85</v>
      </c>
      <c r="F961" s="16">
        <v>7.8402000000000003</v>
      </c>
      <c r="G961" s="16">
        <v>6.66</v>
      </c>
    </row>
    <row r="962" spans="1:7" ht="15" customHeight="1">
      <c r="A962" s="13" t="s">
        <v>747</v>
      </c>
      <c r="B962" s="14" t="s">
        <v>748</v>
      </c>
      <c r="C962" s="13" t="s">
        <v>380</v>
      </c>
      <c r="D962" s="13" t="s">
        <v>381</v>
      </c>
      <c r="E962" s="15">
        <v>0.85</v>
      </c>
      <c r="F962" s="16">
        <v>9.6273999999999997</v>
      </c>
      <c r="G962" s="16">
        <v>8.18</v>
      </c>
    </row>
    <row r="963" spans="1:7" ht="15" customHeight="1">
      <c r="A963" s="11"/>
      <c r="B963" s="11"/>
      <c r="C963" s="11"/>
      <c r="D963" s="11"/>
      <c r="E963" s="153" t="s">
        <v>382</v>
      </c>
      <c r="F963" s="154"/>
      <c r="G963" s="17">
        <v>14.84</v>
      </c>
    </row>
    <row r="964" spans="1:7" ht="15" customHeight="1">
      <c r="A964" s="151" t="s">
        <v>383</v>
      </c>
      <c r="B964" s="152"/>
      <c r="C964" s="12" t="s">
        <v>373</v>
      </c>
      <c r="D964" s="12" t="s">
        <v>374</v>
      </c>
      <c r="E964" s="12" t="s">
        <v>375</v>
      </c>
      <c r="F964" s="12" t="s">
        <v>376</v>
      </c>
      <c r="G964" s="12" t="s">
        <v>377</v>
      </c>
    </row>
    <row r="965" spans="1:7" ht="15" customHeight="1">
      <c r="A965" s="13" t="s">
        <v>749</v>
      </c>
      <c r="B965" s="14" t="s">
        <v>750</v>
      </c>
      <c r="C965" s="13" t="s">
        <v>380</v>
      </c>
      <c r="D965" s="13" t="s">
        <v>392</v>
      </c>
      <c r="E965" s="15">
        <v>1.5</v>
      </c>
      <c r="F965" s="16">
        <v>0.2</v>
      </c>
      <c r="G965" s="16">
        <v>0.3</v>
      </c>
    </row>
    <row r="966" spans="1:7" ht="15" customHeight="1">
      <c r="A966" s="13" t="s">
        <v>771</v>
      </c>
      <c r="B966" s="14" t="s">
        <v>772</v>
      </c>
      <c r="C966" s="13" t="s">
        <v>380</v>
      </c>
      <c r="D966" s="13" t="s">
        <v>430</v>
      </c>
      <c r="E966" s="15">
        <v>1</v>
      </c>
      <c r="F966" s="16">
        <v>55.58</v>
      </c>
      <c r="G966" s="16">
        <v>55.58</v>
      </c>
    </row>
    <row r="967" spans="1:7" ht="15" customHeight="1">
      <c r="A967" s="11"/>
      <c r="B967" s="11"/>
      <c r="C967" s="11"/>
      <c r="D967" s="11"/>
      <c r="E967" s="153" t="s">
        <v>396</v>
      </c>
      <c r="F967" s="154"/>
      <c r="G967" s="17">
        <v>55.88</v>
      </c>
    </row>
    <row r="968" spans="1:7" ht="15" customHeight="1">
      <c r="A968" s="11"/>
      <c r="B968" s="11"/>
      <c r="C968" s="11"/>
      <c r="D968" s="11"/>
      <c r="E968" s="147" t="s">
        <v>397</v>
      </c>
      <c r="F968" s="148"/>
      <c r="G968" s="18">
        <v>70.72</v>
      </c>
    </row>
    <row r="969" spans="1:7" ht="15" customHeight="1">
      <c r="A969" s="11"/>
      <c r="B969" s="11"/>
      <c r="C969" s="11"/>
      <c r="D969" s="11"/>
      <c r="E969" s="147" t="s">
        <v>398</v>
      </c>
      <c r="F969" s="148"/>
      <c r="G969" s="18">
        <v>12.66</v>
      </c>
    </row>
    <row r="970" spans="1:7" ht="15" customHeight="1">
      <c r="A970" s="11"/>
      <c r="B970" s="11"/>
      <c r="C970" s="11"/>
      <c r="D970" s="11"/>
      <c r="E970" s="147" t="s">
        <v>399</v>
      </c>
      <c r="F970" s="148"/>
      <c r="G970" s="18">
        <v>83.38</v>
      </c>
    </row>
    <row r="971" spans="1:7" ht="15" customHeight="1">
      <c r="A971" s="11"/>
      <c r="B971" s="11"/>
      <c r="C971" s="11"/>
      <c r="D971" s="11"/>
      <c r="E971" s="147" t="s">
        <v>400</v>
      </c>
      <c r="F971" s="148"/>
      <c r="G971" s="18">
        <v>20.244700000000002</v>
      </c>
    </row>
    <row r="972" spans="1:7" ht="15" customHeight="1">
      <c r="A972" s="11"/>
      <c r="B972" s="11"/>
      <c r="C972" s="11"/>
      <c r="D972" s="11"/>
      <c r="E972" s="147" t="s">
        <v>401</v>
      </c>
      <c r="F972" s="148"/>
      <c r="G972" s="18">
        <v>103.62</v>
      </c>
    </row>
    <row r="973" spans="1:7" ht="9.9499999999999993" customHeight="1">
      <c r="A973" s="11"/>
      <c r="B973" s="11"/>
      <c r="C973" s="155" t="s">
        <v>370</v>
      </c>
      <c r="D973" s="156"/>
      <c r="E973" s="11"/>
      <c r="F973" s="11"/>
      <c r="G973" s="11"/>
    </row>
    <row r="974" spans="1:7" ht="20.100000000000001" customHeight="1">
      <c r="A974" s="149" t="s">
        <v>773</v>
      </c>
      <c r="B974" s="150"/>
      <c r="C974" s="150"/>
      <c r="D974" s="150"/>
      <c r="E974" s="150"/>
      <c r="F974" s="150"/>
      <c r="G974" s="150"/>
    </row>
    <row r="975" spans="1:7" ht="9.9499999999999993" customHeight="1">
      <c r="A975" s="158"/>
      <c r="B975" s="158"/>
      <c r="C975" s="158"/>
      <c r="D975" s="158"/>
      <c r="E975" s="158"/>
      <c r="F975" s="158"/>
      <c r="G975" s="158"/>
    </row>
    <row r="976" spans="1:7" ht="15" customHeight="1">
      <c r="A976" s="11"/>
      <c r="B976" s="11"/>
      <c r="C976" s="11"/>
      <c r="D976" s="11"/>
      <c r="E976" s="147" t="s">
        <v>397</v>
      </c>
      <c r="F976" s="148"/>
      <c r="G976" s="18">
        <v>23.62</v>
      </c>
    </row>
    <row r="977" spans="1:7" ht="15" customHeight="1">
      <c r="A977" s="11"/>
      <c r="B977" s="11"/>
      <c r="C977" s="11"/>
      <c r="D977" s="11"/>
      <c r="E977" s="147" t="s">
        <v>545</v>
      </c>
      <c r="F977" s="148"/>
      <c r="G977" s="18">
        <v>0</v>
      </c>
    </row>
    <row r="978" spans="1:7" ht="15" customHeight="1">
      <c r="A978" s="11"/>
      <c r="B978" s="11"/>
      <c r="C978" s="11"/>
      <c r="D978" s="11"/>
      <c r="E978" s="147" t="s">
        <v>399</v>
      </c>
      <c r="F978" s="148"/>
      <c r="G978" s="18">
        <v>23.62</v>
      </c>
    </row>
    <row r="979" spans="1:7" ht="15" customHeight="1">
      <c r="A979" s="11"/>
      <c r="B979" s="11"/>
      <c r="C979" s="11"/>
      <c r="D979" s="11"/>
      <c r="E979" s="147" t="s">
        <v>400</v>
      </c>
      <c r="F979" s="148"/>
      <c r="G979" s="18">
        <v>5.7348999999999997</v>
      </c>
    </row>
    <row r="980" spans="1:7" ht="15" customHeight="1">
      <c r="A980" s="11"/>
      <c r="B980" s="11"/>
      <c r="C980" s="11"/>
      <c r="D980" s="11"/>
      <c r="E980" s="147" t="s">
        <v>401</v>
      </c>
      <c r="F980" s="148"/>
      <c r="G980" s="18">
        <v>29.35</v>
      </c>
    </row>
    <row r="981" spans="1:7" ht="9.9499999999999993" customHeight="1">
      <c r="A981" s="11"/>
      <c r="B981" s="11"/>
      <c r="C981" s="155" t="s">
        <v>370</v>
      </c>
      <c r="D981" s="156"/>
      <c r="E981" s="11"/>
      <c r="F981" s="11"/>
      <c r="G981" s="11"/>
    </row>
    <row r="982" spans="1:7" ht="20.100000000000001" customHeight="1">
      <c r="A982" s="149" t="s">
        <v>774</v>
      </c>
      <c r="B982" s="150"/>
      <c r="C982" s="150"/>
      <c r="D982" s="150"/>
      <c r="E982" s="150"/>
      <c r="F982" s="150"/>
      <c r="G982" s="150"/>
    </row>
    <row r="983" spans="1:7" ht="9.9499999999999993" customHeight="1">
      <c r="A983" s="158"/>
      <c r="B983" s="158"/>
      <c r="C983" s="158"/>
      <c r="D983" s="158"/>
      <c r="E983" s="158"/>
      <c r="F983" s="158"/>
      <c r="G983" s="158"/>
    </row>
    <row r="984" spans="1:7" ht="15" customHeight="1">
      <c r="A984" s="11"/>
      <c r="B984" s="11"/>
      <c r="C984" s="11"/>
      <c r="D984" s="11"/>
      <c r="E984" s="147" t="s">
        <v>397</v>
      </c>
      <c r="F984" s="148"/>
      <c r="G984" s="18">
        <v>3.21</v>
      </c>
    </row>
    <row r="985" spans="1:7" ht="15" customHeight="1">
      <c r="A985" s="11"/>
      <c r="B985" s="11"/>
      <c r="C985" s="11"/>
      <c r="D985" s="11"/>
      <c r="E985" s="147" t="s">
        <v>545</v>
      </c>
      <c r="F985" s="148"/>
      <c r="G985" s="18">
        <v>0</v>
      </c>
    </row>
    <row r="986" spans="1:7" ht="15" customHeight="1">
      <c r="A986" s="11"/>
      <c r="B986" s="11"/>
      <c r="C986" s="11"/>
      <c r="D986" s="11"/>
      <c r="E986" s="147" t="s">
        <v>399</v>
      </c>
      <c r="F986" s="148"/>
      <c r="G986" s="18">
        <v>3.21</v>
      </c>
    </row>
    <row r="987" spans="1:7" ht="15" customHeight="1">
      <c r="A987" s="11"/>
      <c r="B987" s="11"/>
      <c r="C987" s="11"/>
      <c r="D987" s="11"/>
      <c r="E987" s="147" t="s">
        <v>400</v>
      </c>
      <c r="F987" s="148"/>
      <c r="G987" s="18">
        <v>0.77939999999999998</v>
      </c>
    </row>
    <row r="988" spans="1:7" ht="15" customHeight="1">
      <c r="A988" s="11"/>
      <c r="B988" s="11"/>
      <c r="C988" s="11"/>
      <c r="D988" s="11"/>
      <c r="E988" s="147" t="s">
        <v>401</v>
      </c>
      <c r="F988" s="148"/>
      <c r="G988" s="18">
        <v>3.99</v>
      </c>
    </row>
    <row r="989" spans="1:7" ht="9.9499999999999993" customHeight="1">
      <c r="A989" s="11"/>
      <c r="B989" s="11"/>
      <c r="C989" s="155" t="s">
        <v>370</v>
      </c>
      <c r="D989" s="156"/>
      <c r="E989" s="11"/>
      <c r="F989" s="11"/>
      <c r="G989" s="11"/>
    </row>
    <row r="990" spans="1:7" ht="20.100000000000001" customHeight="1">
      <c r="A990" s="149" t="s">
        <v>775</v>
      </c>
      <c r="B990" s="150"/>
      <c r="C990" s="150"/>
      <c r="D990" s="150"/>
      <c r="E990" s="150"/>
      <c r="F990" s="150"/>
      <c r="G990" s="150"/>
    </row>
    <row r="991" spans="1:7" ht="15" customHeight="1">
      <c r="A991" s="151" t="s">
        <v>383</v>
      </c>
      <c r="B991" s="152"/>
      <c r="C991" s="12" t="s">
        <v>373</v>
      </c>
      <c r="D991" s="12" t="s">
        <v>374</v>
      </c>
      <c r="E991" s="12" t="s">
        <v>375</v>
      </c>
      <c r="F991" s="12" t="s">
        <v>376</v>
      </c>
      <c r="G991" s="12" t="s">
        <v>377</v>
      </c>
    </row>
    <row r="992" spans="1:7" ht="15" customHeight="1">
      <c r="A992" s="13" t="s">
        <v>726</v>
      </c>
      <c r="B992" s="14" t="s">
        <v>727</v>
      </c>
      <c r="C992" s="13" t="s">
        <v>405</v>
      </c>
      <c r="D992" s="13" t="s">
        <v>430</v>
      </c>
      <c r="E992" s="15">
        <v>4.2900000000000001E-2</v>
      </c>
      <c r="F992" s="16">
        <v>36.130000000000003</v>
      </c>
      <c r="G992" s="16">
        <v>1.55</v>
      </c>
    </row>
    <row r="993" spans="1:7" ht="20.100000000000001" customHeight="1">
      <c r="A993" s="13" t="s">
        <v>776</v>
      </c>
      <c r="B993" s="14" t="s">
        <v>777</v>
      </c>
      <c r="C993" s="13" t="s">
        <v>405</v>
      </c>
      <c r="D993" s="13" t="s">
        <v>392</v>
      </c>
      <c r="E993" s="15">
        <v>1.04</v>
      </c>
      <c r="F993" s="16">
        <v>22.41</v>
      </c>
      <c r="G993" s="16">
        <v>23.31</v>
      </c>
    </row>
    <row r="994" spans="1:7" ht="15" customHeight="1">
      <c r="A994" s="13" t="s">
        <v>730</v>
      </c>
      <c r="B994" s="14" t="s">
        <v>731</v>
      </c>
      <c r="C994" s="13" t="s">
        <v>405</v>
      </c>
      <c r="D994" s="13" t="s">
        <v>430</v>
      </c>
      <c r="E994" s="15">
        <v>7.0099999999999996E-2</v>
      </c>
      <c r="F994" s="16">
        <v>31.37</v>
      </c>
      <c r="G994" s="16">
        <v>2.2000000000000002</v>
      </c>
    </row>
    <row r="995" spans="1:7" ht="15" customHeight="1">
      <c r="A995" s="13" t="s">
        <v>732</v>
      </c>
      <c r="B995" s="14" t="s">
        <v>733</v>
      </c>
      <c r="C995" s="13" t="s">
        <v>405</v>
      </c>
      <c r="D995" s="13" t="s">
        <v>430</v>
      </c>
      <c r="E995" s="15">
        <v>0.14849999999999999</v>
      </c>
      <c r="F995" s="16">
        <v>1.31</v>
      </c>
      <c r="G995" s="16">
        <v>0.19</v>
      </c>
    </row>
    <row r="996" spans="1:7" ht="15" customHeight="1">
      <c r="A996" s="11"/>
      <c r="B996" s="11"/>
      <c r="C996" s="11"/>
      <c r="D996" s="11"/>
      <c r="E996" s="153" t="s">
        <v>396</v>
      </c>
      <c r="F996" s="154"/>
      <c r="G996" s="17">
        <v>27.25</v>
      </c>
    </row>
    <row r="997" spans="1:7" ht="15" customHeight="1">
      <c r="A997" s="151" t="s">
        <v>414</v>
      </c>
      <c r="B997" s="152"/>
      <c r="C997" s="12" t="s">
        <v>373</v>
      </c>
      <c r="D997" s="12" t="s">
        <v>374</v>
      </c>
      <c r="E997" s="12" t="s">
        <v>375</v>
      </c>
      <c r="F997" s="12" t="s">
        <v>376</v>
      </c>
      <c r="G997" s="12" t="s">
        <v>377</v>
      </c>
    </row>
    <row r="998" spans="1:7" ht="20.100000000000001" customHeight="1">
      <c r="A998" s="13" t="s">
        <v>734</v>
      </c>
      <c r="B998" s="14" t="s">
        <v>735</v>
      </c>
      <c r="C998" s="13" t="s">
        <v>405</v>
      </c>
      <c r="D998" s="13" t="s">
        <v>381</v>
      </c>
      <c r="E998" s="15">
        <v>0.44500000000000001</v>
      </c>
      <c r="F998" s="16">
        <v>9.8000000000000007</v>
      </c>
      <c r="G998" s="16">
        <v>4.3600000000000003</v>
      </c>
    </row>
    <row r="999" spans="1:7" ht="20.100000000000001" customHeight="1">
      <c r="A999" s="13" t="s">
        <v>736</v>
      </c>
      <c r="B999" s="14" t="s">
        <v>737</v>
      </c>
      <c r="C999" s="13" t="s">
        <v>405</v>
      </c>
      <c r="D999" s="13" t="s">
        <v>381</v>
      </c>
      <c r="E999" s="15">
        <v>0.44500000000000001</v>
      </c>
      <c r="F999" s="16">
        <v>11.78</v>
      </c>
      <c r="G999" s="16">
        <v>5.24</v>
      </c>
    </row>
    <row r="1000" spans="1:7" ht="15" customHeight="1">
      <c r="A1000" s="11"/>
      <c r="B1000" s="11"/>
      <c r="C1000" s="11"/>
      <c r="D1000" s="11"/>
      <c r="E1000" s="153" t="s">
        <v>431</v>
      </c>
      <c r="F1000" s="154"/>
      <c r="G1000" s="17">
        <v>9.6</v>
      </c>
    </row>
    <row r="1001" spans="1:7" ht="15" customHeight="1">
      <c r="A1001" s="11"/>
      <c r="B1001" s="11"/>
      <c r="C1001" s="11"/>
      <c r="D1001" s="11"/>
      <c r="E1001" s="147" t="s">
        <v>397</v>
      </c>
      <c r="F1001" s="148"/>
      <c r="G1001" s="18">
        <v>36.85</v>
      </c>
    </row>
    <row r="1002" spans="1:7" ht="15" customHeight="1">
      <c r="A1002" s="11"/>
      <c r="B1002" s="11"/>
      <c r="C1002" s="11"/>
      <c r="D1002" s="11"/>
      <c r="E1002" s="147" t="s">
        <v>398</v>
      </c>
      <c r="F1002" s="148"/>
      <c r="G1002" s="18">
        <v>4.26</v>
      </c>
    </row>
    <row r="1003" spans="1:7" ht="15" customHeight="1">
      <c r="A1003" s="11"/>
      <c r="B1003" s="11"/>
      <c r="C1003" s="11"/>
      <c r="D1003" s="11"/>
      <c r="E1003" s="147" t="s">
        <v>399</v>
      </c>
      <c r="F1003" s="148"/>
      <c r="G1003" s="18">
        <v>41.11</v>
      </c>
    </row>
    <row r="1004" spans="1:7" ht="15" customHeight="1">
      <c r="A1004" s="11"/>
      <c r="B1004" s="11"/>
      <c r="C1004" s="11"/>
      <c r="D1004" s="11"/>
      <c r="E1004" s="147" t="s">
        <v>400</v>
      </c>
      <c r="F1004" s="148"/>
      <c r="G1004" s="18">
        <v>9.9815000000000005</v>
      </c>
    </row>
    <row r="1005" spans="1:7" ht="15" customHeight="1">
      <c r="A1005" s="11"/>
      <c r="B1005" s="11"/>
      <c r="C1005" s="11"/>
      <c r="D1005" s="11"/>
      <c r="E1005" s="147" t="s">
        <v>401</v>
      </c>
      <c r="F1005" s="148"/>
      <c r="G1005" s="18">
        <v>51.09</v>
      </c>
    </row>
    <row r="1006" spans="1:7" ht="9.9499999999999993" customHeight="1">
      <c r="A1006" s="11"/>
      <c r="B1006" s="11"/>
      <c r="C1006" s="155" t="s">
        <v>370</v>
      </c>
      <c r="D1006" s="156"/>
      <c r="E1006" s="11"/>
      <c r="F1006" s="11"/>
      <c r="G1006" s="11"/>
    </row>
    <row r="1007" spans="1:7" ht="20.100000000000001" customHeight="1">
      <c r="A1007" s="149" t="s">
        <v>778</v>
      </c>
      <c r="B1007" s="150"/>
      <c r="C1007" s="150"/>
      <c r="D1007" s="150"/>
      <c r="E1007" s="150"/>
      <c r="F1007" s="150"/>
      <c r="G1007" s="150"/>
    </row>
    <row r="1008" spans="1:7" ht="15" customHeight="1">
      <c r="A1008" s="151" t="s">
        <v>372</v>
      </c>
      <c r="B1008" s="152"/>
      <c r="C1008" s="12" t="s">
        <v>373</v>
      </c>
      <c r="D1008" s="12" t="s">
        <v>374</v>
      </c>
      <c r="E1008" s="12" t="s">
        <v>375</v>
      </c>
      <c r="F1008" s="12" t="s">
        <v>376</v>
      </c>
      <c r="G1008" s="12" t="s">
        <v>377</v>
      </c>
    </row>
    <row r="1009" spans="1:7" ht="15" customHeight="1">
      <c r="A1009" s="13" t="s">
        <v>438</v>
      </c>
      <c r="B1009" s="14" t="s">
        <v>439</v>
      </c>
      <c r="C1009" s="13" t="s">
        <v>380</v>
      </c>
      <c r="D1009" s="13" t="s">
        <v>381</v>
      </c>
      <c r="E1009" s="15">
        <v>2</v>
      </c>
      <c r="F1009" s="16">
        <v>9.6273999999999997</v>
      </c>
      <c r="G1009" s="16">
        <v>19.25</v>
      </c>
    </row>
    <row r="1010" spans="1:7" ht="15" customHeight="1">
      <c r="A1010" s="13" t="s">
        <v>378</v>
      </c>
      <c r="B1010" s="14" t="s">
        <v>379</v>
      </c>
      <c r="C1010" s="13" t="s">
        <v>380</v>
      </c>
      <c r="D1010" s="13" t="s">
        <v>381</v>
      </c>
      <c r="E1010" s="15">
        <v>16</v>
      </c>
      <c r="F1010" s="16">
        <v>7.1327999999999996</v>
      </c>
      <c r="G1010" s="16">
        <v>114.12</v>
      </c>
    </row>
    <row r="1011" spans="1:7" ht="15" customHeight="1">
      <c r="A1011" s="11"/>
      <c r="B1011" s="11"/>
      <c r="C1011" s="11"/>
      <c r="D1011" s="11"/>
      <c r="E1011" s="153" t="s">
        <v>382</v>
      </c>
      <c r="F1011" s="154"/>
      <c r="G1011" s="17">
        <v>133.37</v>
      </c>
    </row>
    <row r="1012" spans="1:7" ht="15" customHeight="1">
      <c r="A1012" s="151" t="s">
        <v>383</v>
      </c>
      <c r="B1012" s="152"/>
      <c r="C1012" s="12" t="s">
        <v>373</v>
      </c>
      <c r="D1012" s="12" t="s">
        <v>374</v>
      </c>
      <c r="E1012" s="12" t="s">
        <v>375</v>
      </c>
      <c r="F1012" s="12" t="s">
        <v>376</v>
      </c>
      <c r="G1012" s="12" t="s">
        <v>377</v>
      </c>
    </row>
    <row r="1013" spans="1:7" ht="15" customHeight="1">
      <c r="A1013" s="13" t="s">
        <v>652</v>
      </c>
      <c r="B1013" s="14" t="s">
        <v>653</v>
      </c>
      <c r="C1013" s="13" t="s">
        <v>380</v>
      </c>
      <c r="D1013" s="13" t="s">
        <v>427</v>
      </c>
      <c r="E1013" s="15">
        <v>0.67600000000000005</v>
      </c>
      <c r="F1013" s="16">
        <v>51</v>
      </c>
      <c r="G1013" s="16">
        <v>34.479999999999997</v>
      </c>
    </row>
    <row r="1014" spans="1:7" ht="15" customHeight="1">
      <c r="A1014" s="13" t="s">
        <v>779</v>
      </c>
      <c r="B1014" s="14" t="s">
        <v>780</v>
      </c>
      <c r="C1014" s="13" t="s">
        <v>380</v>
      </c>
      <c r="D1014" s="13" t="s">
        <v>427</v>
      </c>
      <c r="E1014" s="15">
        <v>0.878</v>
      </c>
      <c r="F1014" s="16">
        <v>76.75</v>
      </c>
      <c r="G1014" s="16">
        <v>67.39</v>
      </c>
    </row>
    <row r="1015" spans="1:7" ht="15" customHeight="1">
      <c r="A1015" s="13" t="s">
        <v>456</v>
      </c>
      <c r="B1015" s="14" t="s">
        <v>457</v>
      </c>
      <c r="C1015" s="13" t="s">
        <v>380</v>
      </c>
      <c r="D1015" s="13" t="s">
        <v>395</v>
      </c>
      <c r="E1015" s="15">
        <v>220</v>
      </c>
      <c r="F1015" s="16">
        <v>0.46</v>
      </c>
      <c r="G1015" s="16">
        <v>101.2</v>
      </c>
    </row>
    <row r="1016" spans="1:7" ht="15" customHeight="1">
      <c r="A1016" s="11"/>
      <c r="B1016" s="11"/>
      <c r="C1016" s="11"/>
      <c r="D1016" s="11"/>
      <c r="E1016" s="153" t="s">
        <v>396</v>
      </c>
      <c r="F1016" s="154"/>
      <c r="G1016" s="17">
        <v>203.07</v>
      </c>
    </row>
    <row r="1017" spans="1:7" ht="15" customHeight="1">
      <c r="A1017" s="11"/>
      <c r="B1017" s="11"/>
      <c r="C1017" s="11"/>
      <c r="D1017" s="11"/>
      <c r="E1017" s="147" t="s">
        <v>397</v>
      </c>
      <c r="F1017" s="148"/>
      <c r="G1017" s="18">
        <v>336.44</v>
      </c>
    </row>
    <row r="1018" spans="1:7" ht="15" customHeight="1">
      <c r="A1018" s="11"/>
      <c r="B1018" s="11"/>
      <c r="C1018" s="11"/>
      <c r="D1018" s="11"/>
      <c r="E1018" s="147" t="s">
        <v>398</v>
      </c>
      <c r="F1018" s="148"/>
      <c r="G1018" s="18">
        <v>113.64</v>
      </c>
    </row>
    <row r="1019" spans="1:7" ht="15" customHeight="1">
      <c r="A1019" s="11"/>
      <c r="B1019" s="11"/>
      <c r="C1019" s="11"/>
      <c r="D1019" s="11"/>
      <c r="E1019" s="147" t="s">
        <v>399</v>
      </c>
      <c r="F1019" s="148"/>
      <c r="G1019" s="18">
        <v>450.08</v>
      </c>
    </row>
    <row r="1020" spans="1:7" ht="15" customHeight="1">
      <c r="A1020" s="11"/>
      <c r="B1020" s="11"/>
      <c r="C1020" s="11"/>
      <c r="D1020" s="11"/>
      <c r="E1020" s="147" t="s">
        <v>400</v>
      </c>
      <c r="F1020" s="148"/>
      <c r="G1020" s="18">
        <v>109.2794</v>
      </c>
    </row>
    <row r="1021" spans="1:7" ht="15" customHeight="1">
      <c r="A1021" s="11"/>
      <c r="B1021" s="11"/>
      <c r="C1021" s="11"/>
      <c r="D1021" s="11"/>
      <c r="E1021" s="147" t="s">
        <v>401</v>
      </c>
      <c r="F1021" s="148"/>
      <c r="G1021" s="18">
        <v>559.36</v>
      </c>
    </row>
    <row r="1022" spans="1:7" ht="9.9499999999999993" customHeight="1">
      <c r="A1022" s="11"/>
      <c r="B1022" s="11"/>
      <c r="C1022" s="155" t="s">
        <v>370</v>
      </c>
      <c r="D1022" s="156"/>
      <c r="E1022" s="11"/>
      <c r="F1022" s="11"/>
      <c r="G1022" s="11"/>
    </row>
    <row r="1023" spans="1:7" ht="20.100000000000001" customHeight="1">
      <c r="A1023" s="149" t="s">
        <v>781</v>
      </c>
      <c r="B1023" s="150"/>
      <c r="C1023" s="150"/>
      <c r="D1023" s="150"/>
      <c r="E1023" s="150"/>
      <c r="F1023" s="150"/>
      <c r="G1023" s="150"/>
    </row>
    <row r="1024" spans="1:7" ht="9.9499999999999993" customHeight="1">
      <c r="A1024" s="158"/>
      <c r="B1024" s="158"/>
      <c r="C1024" s="158"/>
      <c r="D1024" s="158"/>
      <c r="E1024" s="158"/>
      <c r="F1024" s="158"/>
      <c r="G1024" s="158"/>
    </row>
    <row r="1025" spans="1:7" ht="15" customHeight="1">
      <c r="A1025" s="11"/>
      <c r="B1025" s="11"/>
      <c r="C1025" s="11"/>
      <c r="D1025" s="11"/>
      <c r="E1025" s="147" t="s">
        <v>397</v>
      </c>
      <c r="F1025" s="148"/>
      <c r="G1025" s="18">
        <v>9.08</v>
      </c>
    </row>
    <row r="1026" spans="1:7" ht="15" customHeight="1">
      <c r="A1026" s="11"/>
      <c r="B1026" s="11"/>
      <c r="C1026" s="11"/>
      <c r="D1026" s="11"/>
      <c r="E1026" s="147" t="s">
        <v>545</v>
      </c>
      <c r="F1026" s="148"/>
      <c r="G1026" s="18">
        <v>0</v>
      </c>
    </row>
    <row r="1027" spans="1:7" ht="15" customHeight="1">
      <c r="A1027" s="11"/>
      <c r="B1027" s="11"/>
      <c r="C1027" s="11"/>
      <c r="D1027" s="11"/>
      <c r="E1027" s="147" t="s">
        <v>399</v>
      </c>
      <c r="F1027" s="148"/>
      <c r="G1027" s="18">
        <v>9.08</v>
      </c>
    </row>
    <row r="1028" spans="1:7" ht="15" customHeight="1">
      <c r="A1028" s="11"/>
      <c r="B1028" s="11"/>
      <c r="C1028" s="11"/>
      <c r="D1028" s="11"/>
      <c r="E1028" s="147" t="s">
        <v>400</v>
      </c>
      <c r="F1028" s="148"/>
      <c r="G1028" s="18">
        <v>2.2046000000000001</v>
      </c>
    </row>
    <row r="1029" spans="1:7" ht="15" customHeight="1">
      <c r="A1029" s="11"/>
      <c r="B1029" s="11"/>
      <c r="C1029" s="11"/>
      <c r="D1029" s="11"/>
      <c r="E1029" s="147" t="s">
        <v>401</v>
      </c>
      <c r="F1029" s="148"/>
      <c r="G1029" s="18">
        <v>11.28</v>
      </c>
    </row>
    <row r="1030" spans="1:7" ht="9.9499999999999993" customHeight="1">
      <c r="A1030" s="11"/>
      <c r="B1030" s="11"/>
      <c r="C1030" s="155" t="s">
        <v>370</v>
      </c>
      <c r="D1030" s="156"/>
      <c r="E1030" s="11"/>
      <c r="F1030" s="11"/>
      <c r="G1030" s="11"/>
    </row>
    <row r="1031" spans="1:7" ht="20.100000000000001" customHeight="1">
      <c r="A1031" s="149" t="s">
        <v>782</v>
      </c>
      <c r="B1031" s="150"/>
      <c r="C1031" s="150"/>
      <c r="D1031" s="150"/>
      <c r="E1031" s="150"/>
      <c r="F1031" s="150"/>
      <c r="G1031" s="150"/>
    </row>
    <row r="1032" spans="1:7" ht="15" customHeight="1">
      <c r="A1032" s="151" t="s">
        <v>383</v>
      </c>
      <c r="B1032" s="152"/>
      <c r="C1032" s="12" t="s">
        <v>373</v>
      </c>
      <c r="D1032" s="12" t="s">
        <v>374</v>
      </c>
      <c r="E1032" s="12" t="s">
        <v>375</v>
      </c>
      <c r="F1032" s="12" t="s">
        <v>376</v>
      </c>
      <c r="G1032" s="12" t="s">
        <v>377</v>
      </c>
    </row>
    <row r="1033" spans="1:7" ht="20.100000000000001" customHeight="1">
      <c r="A1033" s="13" t="s">
        <v>783</v>
      </c>
      <c r="B1033" s="14" t="s">
        <v>784</v>
      </c>
      <c r="C1033" s="13" t="s">
        <v>405</v>
      </c>
      <c r="D1033" s="13" t="s">
        <v>392</v>
      </c>
      <c r="E1033" s="15">
        <v>1.05</v>
      </c>
      <c r="F1033" s="16">
        <v>3.27</v>
      </c>
      <c r="G1033" s="16">
        <v>3.43</v>
      </c>
    </row>
    <row r="1034" spans="1:7" ht="15" customHeight="1">
      <c r="A1034" s="13" t="s">
        <v>732</v>
      </c>
      <c r="B1034" s="14" t="s">
        <v>733</v>
      </c>
      <c r="C1034" s="13" t="s">
        <v>405</v>
      </c>
      <c r="D1034" s="13" t="s">
        <v>430</v>
      </c>
      <c r="E1034" s="15">
        <v>0.1</v>
      </c>
      <c r="F1034" s="16">
        <v>1.31</v>
      </c>
      <c r="G1034" s="16">
        <v>0.13</v>
      </c>
    </row>
    <row r="1035" spans="1:7" ht="15" customHeight="1">
      <c r="A1035" s="11"/>
      <c r="B1035" s="11"/>
      <c r="C1035" s="11"/>
      <c r="D1035" s="11"/>
      <c r="E1035" s="153" t="s">
        <v>396</v>
      </c>
      <c r="F1035" s="154"/>
      <c r="G1035" s="17">
        <v>3.56</v>
      </c>
    </row>
    <row r="1036" spans="1:7" ht="15" customHeight="1">
      <c r="A1036" s="151" t="s">
        <v>414</v>
      </c>
      <c r="B1036" s="152"/>
      <c r="C1036" s="12" t="s">
        <v>373</v>
      </c>
      <c r="D1036" s="12" t="s">
        <v>374</v>
      </c>
      <c r="E1036" s="12" t="s">
        <v>375</v>
      </c>
      <c r="F1036" s="12" t="s">
        <v>376</v>
      </c>
      <c r="G1036" s="12" t="s">
        <v>377</v>
      </c>
    </row>
    <row r="1037" spans="1:7" ht="20.100000000000001" customHeight="1">
      <c r="A1037" s="13" t="s">
        <v>734</v>
      </c>
      <c r="B1037" s="14" t="s">
        <v>735</v>
      </c>
      <c r="C1037" s="13" t="s">
        <v>405</v>
      </c>
      <c r="D1037" s="13" t="s">
        <v>381</v>
      </c>
      <c r="E1037" s="15">
        <v>0.3</v>
      </c>
      <c r="F1037" s="16">
        <v>9.8000000000000007</v>
      </c>
      <c r="G1037" s="16">
        <v>2.94</v>
      </c>
    </row>
    <row r="1038" spans="1:7" ht="20.100000000000001" customHeight="1">
      <c r="A1038" s="13" t="s">
        <v>736</v>
      </c>
      <c r="B1038" s="14" t="s">
        <v>737</v>
      </c>
      <c r="C1038" s="13" t="s">
        <v>405</v>
      </c>
      <c r="D1038" s="13" t="s">
        <v>381</v>
      </c>
      <c r="E1038" s="15">
        <v>0.3</v>
      </c>
      <c r="F1038" s="16">
        <v>11.78</v>
      </c>
      <c r="G1038" s="16">
        <v>3.53</v>
      </c>
    </row>
    <row r="1039" spans="1:7" ht="15" customHeight="1">
      <c r="A1039" s="11"/>
      <c r="B1039" s="11"/>
      <c r="C1039" s="11"/>
      <c r="D1039" s="11"/>
      <c r="E1039" s="153" t="s">
        <v>431</v>
      </c>
      <c r="F1039" s="154"/>
      <c r="G1039" s="17">
        <v>6.47</v>
      </c>
    </row>
    <row r="1040" spans="1:7" ht="15" customHeight="1">
      <c r="A1040" s="11"/>
      <c r="B1040" s="11"/>
      <c r="C1040" s="11"/>
      <c r="D1040" s="11"/>
      <c r="E1040" s="147" t="s">
        <v>397</v>
      </c>
      <c r="F1040" s="148"/>
      <c r="G1040" s="18">
        <v>10.029999999999999</v>
      </c>
    </row>
    <row r="1041" spans="1:7" ht="15" customHeight="1">
      <c r="A1041" s="11"/>
      <c r="B1041" s="11"/>
      <c r="C1041" s="11"/>
      <c r="D1041" s="11"/>
      <c r="E1041" s="147" t="s">
        <v>398</v>
      </c>
      <c r="F1041" s="148"/>
      <c r="G1041" s="18">
        <v>2.89</v>
      </c>
    </row>
    <row r="1042" spans="1:7" ht="15" customHeight="1">
      <c r="A1042" s="11"/>
      <c r="B1042" s="11"/>
      <c r="C1042" s="11"/>
      <c r="D1042" s="11"/>
      <c r="E1042" s="147" t="s">
        <v>399</v>
      </c>
      <c r="F1042" s="148"/>
      <c r="G1042" s="18">
        <v>12.92</v>
      </c>
    </row>
    <row r="1043" spans="1:7" ht="15" customHeight="1">
      <c r="A1043" s="11"/>
      <c r="B1043" s="11"/>
      <c r="C1043" s="11"/>
      <c r="D1043" s="11"/>
      <c r="E1043" s="147" t="s">
        <v>400</v>
      </c>
      <c r="F1043" s="148"/>
      <c r="G1043" s="18">
        <v>3.137</v>
      </c>
    </row>
    <row r="1044" spans="1:7" ht="15" customHeight="1">
      <c r="A1044" s="11"/>
      <c r="B1044" s="11"/>
      <c r="C1044" s="11"/>
      <c r="D1044" s="11"/>
      <c r="E1044" s="147" t="s">
        <v>401</v>
      </c>
      <c r="F1044" s="148"/>
      <c r="G1044" s="18">
        <v>16.059999999999999</v>
      </c>
    </row>
    <row r="1045" spans="1:7" ht="9.9499999999999993" customHeight="1">
      <c r="A1045" s="11"/>
      <c r="B1045" s="11"/>
      <c r="C1045" s="155" t="s">
        <v>370</v>
      </c>
      <c r="D1045" s="156"/>
      <c r="E1045" s="11"/>
      <c r="F1045" s="11"/>
      <c r="G1045" s="11"/>
    </row>
    <row r="1046" spans="1:7" ht="20.100000000000001" customHeight="1">
      <c r="A1046" s="149" t="s">
        <v>785</v>
      </c>
      <c r="B1046" s="150"/>
      <c r="C1046" s="150"/>
      <c r="D1046" s="150"/>
      <c r="E1046" s="150"/>
      <c r="F1046" s="150"/>
      <c r="G1046" s="150"/>
    </row>
    <row r="1047" spans="1:7" ht="15" customHeight="1">
      <c r="A1047" s="151" t="s">
        <v>383</v>
      </c>
      <c r="B1047" s="152"/>
      <c r="C1047" s="12" t="s">
        <v>373</v>
      </c>
      <c r="D1047" s="12" t="s">
        <v>374</v>
      </c>
      <c r="E1047" s="12" t="s">
        <v>375</v>
      </c>
      <c r="F1047" s="12" t="s">
        <v>376</v>
      </c>
      <c r="G1047" s="12" t="s">
        <v>377</v>
      </c>
    </row>
    <row r="1048" spans="1:7" ht="15" customHeight="1">
      <c r="A1048" s="13" t="s">
        <v>726</v>
      </c>
      <c r="B1048" s="14" t="s">
        <v>727</v>
      </c>
      <c r="C1048" s="13" t="s">
        <v>405</v>
      </c>
      <c r="D1048" s="13" t="s">
        <v>430</v>
      </c>
      <c r="E1048" s="15">
        <v>3.5000000000000001E-3</v>
      </c>
      <c r="F1048" s="16">
        <v>36.130000000000003</v>
      </c>
      <c r="G1048" s="16">
        <v>0.13</v>
      </c>
    </row>
    <row r="1049" spans="1:7" ht="20.100000000000001" customHeight="1">
      <c r="A1049" s="13" t="s">
        <v>786</v>
      </c>
      <c r="B1049" s="14" t="s">
        <v>787</v>
      </c>
      <c r="C1049" s="13" t="s">
        <v>405</v>
      </c>
      <c r="D1049" s="13" t="s">
        <v>392</v>
      </c>
      <c r="E1049" s="15">
        <v>1.05</v>
      </c>
      <c r="F1049" s="16">
        <v>5.57</v>
      </c>
      <c r="G1049" s="16">
        <v>5.85</v>
      </c>
    </row>
    <row r="1050" spans="1:7" ht="15" customHeight="1">
      <c r="A1050" s="13" t="s">
        <v>730</v>
      </c>
      <c r="B1050" s="14" t="s">
        <v>731</v>
      </c>
      <c r="C1050" s="13" t="s">
        <v>405</v>
      </c>
      <c r="D1050" s="13" t="s">
        <v>430</v>
      </c>
      <c r="E1050" s="15">
        <v>4.7999999999999996E-3</v>
      </c>
      <c r="F1050" s="16">
        <v>31.37</v>
      </c>
      <c r="G1050" s="16">
        <v>0.15</v>
      </c>
    </row>
    <row r="1051" spans="1:7" ht="15" customHeight="1">
      <c r="A1051" s="13" t="s">
        <v>732</v>
      </c>
      <c r="B1051" s="14" t="s">
        <v>733</v>
      </c>
      <c r="C1051" s="13" t="s">
        <v>405</v>
      </c>
      <c r="D1051" s="13" t="s">
        <v>430</v>
      </c>
      <c r="E1051" s="15">
        <v>1.7000000000000001E-2</v>
      </c>
      <c r="F1051" s="16">
        <v>1.31</v>
      </c>
      <c r="G1051" s="16">
        <v>0.02</v>
      </c>
    </row>
    <row r="1052" spans="1:7" ht="15" customHeight="1">
      <c r="A1052" s="11"/>
      <c r="B1052" s="11"/>
      <c r="C1052" s="11"/>
      <c r="D1052" s="11"/>
      <c r="E1052" s="153" t="s">
        <v>396</v>
      </c>
      <c r="F1052" s="154"/>
      <c r="G1052" s="17">
        <v>6.15</v>
      </c>
    </row>
    <row r="1053" spans="1:7" ht="15" customHeight="1">
      <c r="A1053" s="151" t="s">
        <v>414</v>
      </c>
      <c r="B1053" s="152"/>
      <c r="C1053" s="12" t="s">
        <v>373</v>
      </c>
      <c r="D1053" s="12" t="s">
        <v>374</v>
      </c>
      <c r="E1053" s="12" t="s">
        <v>375</v>
      </c>
      <c r="F1053" s="12" t="s">
        <v>376</v>
      </c>
      <c r="G1053" s="12" t="s">
        <v>377</v>
      </c>
    </row>
    <row r="1054" spans="1:7" ht="20.100000000000001" customHeight="1">
      <c r="A1054" s="13" t="s">
        <v>734</v>
      </c>
      <c r="B1054" s="14" t="s">
        <v>735</v>
      </c>
      <c r="C1054" s="13" t="s">
        <v>405</v>
      </c>
      <c r="D1054" s="13" t="s">
        <v>381</v>
      </c>
      <c r="E1054" s="15">
        <v>0.05</v>
      </c>
      <c r="F1054" s="16">
        <v>9.8000000000000007</v>
      </c>
      <c r="G1054" s="16">
        <v>0.49</v>
      </c>
    </row>
    <row r="1055" spans="1:7" ht="20.100000000000001" customHeight="1">
      <c r="A1055" s="13" t="s">
        <v>736</v>
      </c>
      <c r="B1055" s="14" t="s">
        <v>737</v>
      </c>
      <c r="C1055" s="13" t="s">
        <v>405</v>
      </c>
      <c r="D1055" s="13" t="s">
        <v>381</v>
      </c>
      <c r="E1055" s="15">
        <v>0.05</v>
      </c>
      <c r="F1055" s="16">
        <v>11.78</v>
      </c>
      <c r="G1055" s="16">
        <v>0.59</v>
      </c>
    </row>
    <row r="1056" spans="1:7" ht="15" customHeight="1">
      <c r="A1056" s="11"/>
      <c r="B1056" s="11"/>
      <c r="C1056" s="11"/>
      <c r="D1056" s="11"/>
      <c r="E1056" s="153" t="s">
        <v>431</v>
      </c>
      <c r="F1056" s="154"/>
      <c r="G1056" s="17">
        <v>1.08</v>
      </c>
    </row>
    <row r="1057" spans="1:7" ht="15" customHeight="1">
      <c r="A1057" s="11"/>
      <c r="B1057" s="11"/>
      <c r="C1057" s="11"/>
      <c r="D1057" s="11"/>
      <c r="E1057" s="147" t="s">
        <v>397</v>
      </c>
      <c r="F1057" s="148"/>
      <c r="G1057" s="18">
        <v>7.23</v>
      </c>
    </row>
    <row r="1058" spans="1:7" ht="15" customHeight="1">
      <c r="A1058" s="11"/>
      <c r="B1058" s="11"/>
      <c r="C1058" s="11"/>
      <c r="D1058" s="11"/>
      <c r="E1058" s="147" t="s">
        <v>398</v>
      </c>
      <c r="F1058" s="148"/>
      <c r="G1058" s="18">
        <v>0.45</v>
      </c>
    </row>
    <row r="1059" spans="1:7" ht="15" customHeight="1">
      <c r="A1059" s="11"/>
      <c r="B1059" s="11"/>
      <c r="C1059" s="11"/>
      <c r="D1059" s="11"/>
      <c r="E1059" s="147" t="s">
        <v>399</v>
      </c>
      <c r="F1059" s="148"/>
      <c r="G1059" s="18">
        <v>7.68</v>
      </c>
    </row>
    <row r="1060" spans="1:7" ht="15" customHeight="1">
      <c r="A1060" s="11"/>
      <c r="B1060" s="11"/>
      <c r="C1060" s="11"/>
      <c r="D1060" s="11"/>
      <c r="E1060" s="147" t="s">
        <v>400</v>
      </c>
      <c r="F1060" s="148"/>
      <c r="G1060" s="18">
        <v>1.8647</v>
      </c>
    </row>
    <row r="1061" spans="1:7" ht="15" customHeight="1">
      <c r="A1061" s="11"/>
      <c r="B1061" s="11"/>
      <c r="C1061" s="11"/>
      <c r="D1061" s="11"/>
      <c r="E1061" s="147" t="s">
        <v>401</v>
      </c>
      <c r="F1061" s="148"/>
      <c r="G1061" s="18">
        <v>9.5399999999999991</v>
      </c>
    </row>
    <row r="1062" spans="1:7" ht="9.9499999999999993" customHeight="1">
      <c r="A1062" s="11"/>
      <c r="B1062" s="11"/>
      <c r="C1062" s="155" t="s">
        <v>370</v>
      </c>
      <c r="D1062" s="156"/>
      <c r="E1062" s="11"/>
      <c r="F1062" s="11"/>
      <c r="G1062" s="11"/>
    </row>
    <row r="1063" spans="1:7" ht="20.100000000000001" customHeight="1">
      <c r="A1063" s="149" t="s">
        <v>788</v>
      </c>
      <c r="B1063" s="150"/>
      <c r="C1063" s="150"/>
      <c r="D1063" s="150"/>
      <c r="E1063" s="150"/>
      <c r="F1063" s="150"/>
      <c r="G1063" s="150"/>
    </row>
    <row r="1064" spans="1:7" ht="15" customHeight="1">
      <c r="A1064" s="151" t="s">
        <v>372</v>
      </c>
      <c r="B1064" s="152"/>
      <c r="C1064" s="12" t="s">
        <v>373</v>
      </c>
      <c r="D1064" s="12" t="s">
        <v>374</v>
      </c>
      <c r="E1064" s="12" t="s">
        <v>375</v>
      </c>
      <c r="F1064" s="12" t="s">
        <v>376</v>
      </c>
      <c r="G1064" s="12" t="s">
        <v>377</v>
      </c>
    </row>
    <row r="1065" spans="1:7" ht="15" customHeight="1">
      <c r="A1065" s="13" t="s">
        <v>745</v>
      </c>
      <c r="B1065" s="14" t="s">
        <v>746</v>
      </c>
      <c r="C1065" s="13" t="s">
        <v>380</v>
      </c>
      <c r="D1065" s="13" t="s">
        <v>381</v>
      </c>
      <c r="E1065" s="15">
        <v>0.46</v>
      </c>
      <c r="F1065" s="16">
        <v>7.8402000000000003</v>
      </c>
      <c r="G1065" s="16">
        <v>3.61</v>
      </c>
    </row>
    <row r="1066" spans="1:7" ht="15" customHeight="1">
      <c r="A1066" s="13" t="s">
        <v>747</v>
      </c>
      <c r="B1066" s="14" t="s">
        <v>748</v>
      </c>
      <c r="C1066" s="13" t="s">
        <v>380</v>
      </c>
      <c r="D1066" s="13" t="s">
        <v>381</v>
      </c>
      <c r="E1066" s="15">
        <v>0.46</v>
      </c>
      <c r="F1066" s="16">
        <v>9.6273999999999997</v>
      </c>
      <c r="G1066" s="16">
        <v>4.43</v>
      </c>
    </row>
    <row r="1067" spans="1:7" ht="15" customHeight="1">
      <c r="A1067" s="11"/>
      <c r="B1067" s="11"/>
      <c r="C1067" s="11"/>
      <c r="D1067" s="11"/>
      <c r="E1067" s="153" t="s">
        <v>382</v>
      </c>
      <c r="F1067" s="154"/>
      <c r="G1067" s="17">
        <v>8.0399999999999991</v>
      </c>
    </row>
    <row r="1068" spans="1:7" ht="15" customHeight="1">
      <c r="A1068" s="151" t="s">
        <v>383</v>
      </c>
      <c r="B1068" s="152"/>
      <c r="C1068" s="12" t="s">
        <v>373</v>
      </c>
      <c r="D1068" s="12" t="s">
        <v>374</v>
      </c>
      <c r="E1068" s="12" t="s">
        <v>375</v>
      </c>
      <c r="F1068" s="12" t="s">
        <v>376</v>
      </c>
      <c r="G1068" s="12" t="s">
        <v>377</v>
      </c>
    </row>
    <row r="1069" spans="1:7" ht="15" customHeight="1">
      <c r="A1069" s="13" t="s">
        <v>789</v>
      </c>
      <c r="B1069" s="14" t="s">
        <v>790</v>
      </c>
      <c r="C1069" s="13" t="s">
        <v>380</v>
      </c>
      <c r="D1069" s="13" t="s">
        <v>395</v>
      </c>
      <c r="E1069" s="15">
        <v>5.7500000000000002E-2</v>
      </c>
      <c r="F1069" s="16">
        <v>43.56</v>
      </c>
      <c r="G1069" s="16">
        <v>2.5</v>
      </c>
    </row>
    <row r="1070" spans="1:7" ht="15" customHeight="1">
      <c r="A1070" s="13" t="s">
        <v>791</v>
      </c>
      <c r="B1070" s="14" t="s">
        <v>792</v>
      </c>
      <c r="C1070" s="13" t="s">
        <v>380</v>
      </c>
      <c r="D1070" s="13" t="s">
        <v>430</v>
      </c>
      <c r="E1070" s="15">
        <v>1</v>
      </c>
      <c r="F1070" s="16">
        <v>11.72</v>
      </c>
      <c r="G1070" s="16">
        <v>11.72</v>
      </c>
    </row>
    <row r="1071" spans="1:7" ht="15" customHeight="1">
      <c r="A1071" s="13" t="s">
        <v>793</v>
      </c>
      <c r="B1071" s="14" t="s">
        <v>794</v>
      </c>
      <c r="C1071" s="13" t="s">
        <v>380</v>
      </c>
      <c r="D1071" s="13" t="s">
        <v>389</v>
      </c>
      <c r="E1071" s="15">
        <v>9.0999999999999998E-2</v>
      </c>
      <c r="F1071" s="16">
        <v>32.159999999999997</v>
      </c>
      <c r="G1071" s="16">
        <v>2.93</v>
      </c>
    </row>
    <row r="1072" spans="1:7" ht="15" customHeight="1">
      <c r="A1072" s="11"/>
      <c r="B1072" s="11"/>
      <c r="C1072" s="11"/>
      <c r="D1072" s="11"/>
      <c r="E1072" s="153" t="s">
        <v>396</v>
      </c>
      <c r="F1072" s="154"/>
      <c r="G1072" s="17">
        <v>17.149999999999999</v>
      </c>
    </row>
    <row r="1073" spans="1:7" ht="15" customHeight="1">
      <c r="A1073" s="11"/>
      <c r="B1073" s="11"/>
      <c r="C1073" s="11"/>
      <c r="D1073" s="11"/>
      <c r="E1073" s="147" t="s">
        <v>397</v>
      </c>
      <c r="F1073" s="148"/>
      <c r="G1073" s="18">
        <v>25.19</v>
      </c>
    </row>
    <row r="1074" spans="1:7" ht="15" customHeight="1">
      <c r="A1074" s="11"/>
      <c r="B1074" s="11"/>
      <c r="C1074" s="11"/>
      <c r="D1074" s="11"/>
      <c r="E1074" s="147" t="s">
        <v>398</v>
      </c>
      <c r="F1074" s="148"/>
      <c r="G1074" s="18">
        <v>6.84</v>
      </c>
    </row>
    <row r="1075" spans="1:7" ht="15" customHeight="1">
      <c r="A1075" s="11"/>
      <c r="B1075" s="11"/>
      <c r="C1075" s="11"/>
      <c r="D1075" s="11"/>
      <c r="E1075" s="147" t="s">
        <v>399</v>
      </c>
      <c r="F1075" s="148"/>
      <c r="G1075" s="18">
        <v>32.03</v>
      </c>
    </row>
    <row r="1076" spans="1:7" ht="15" customHeight="1">
      <c r="A1076" s="11"/>
      <c r="B1076" s="11"/>
      <c r="C1076" s="11"/>
      <c r="D1076" s="11"/>
      <c r="E1076" s="147" t="s">
        <v>400</v>
      </c>
      <c r="F1076" s="148"/>
      <c r="G1076" s="18">
        <v>7.7769000000000004</v>
      </c>
    </row>
    <row r="1077" spans="1:7" ht="15" customHeight="1">
      <c r="A1077" s="11"/>
      <c r="B1077" s="11"/>
      <c r="C1077" s="11"/>
      <c r="D1077" s="11"/>
      <c r="E1077" s="147" t="s">
        <v>401</v>
      </c>
      <c r="F1077" s="148"/>
      <c r="G1077" s="18">
        <v>39.81</v>
      </c>
    </row>
    <row r="1078" spans="1:7" ht="9.9499999999999993" customHeight="1">
      <c r="A1078" s="11"/>
      <c r="B1078" s="11"/>
      <c r="C1078" s="155" t="s">
        <v>370</v>
      </c>
      <c r="D1078" s="156"/>
      <c r="E1078" s="11"/>
      <c r="F1078" s="11"/>
      <c r="G1078" s="11"/>
    </row>
    <row r="1079" spans="1:7" ht="20.100000000000001" customHeight="1">
      <c r="A1079" s="149" t="s">
        <v>795</v>
      </c>
      <c r="B1079" s="150"/>
      <c r="C1079" s="150"/>
      <c r="D1079" s="150"/>
      <c r="E1079" s="150"/>
      <c r="F1079" s="150"/>
      <c r="G1079" s="150"/>
    </row>
    <row r="1080" spans="1:7" ht="15" customHeight="1">
      <c r="A1080" s="151" t="s">
        <v>372</v>
      </c>
      <c r="B1080" s="152"/>
      <c r="C1080" s="12" t="s">
        <v>373</v>
      </c>
      <c r="D1080" s="12" t="s">
        <v>374</v>
      </c>
      <c r="E1080" s="12" t="s">
        <v>375</v>
      </c>
      <c r="F1080" s="12" t="s">
        <v>376</v>
      </c>
      <c r="G1080" s="12" t="s">
        <v>377</v>
      </c>
    </row>
    <row r="1081" spans="1:7" ht="15" customHeight="1">
      <c r="A1081" s="13" t="s">
        <v>745</v>
      </c>
      <c r="B1081" s="14" t="s">
        <v>746</v>
      </c>
      <c r="C1081" s="13" t="s">
        <v>380</v>
      </c>
      <c r="D1081" s="13" t="s">
        <v>381</v>
      </c>
      <c r="E1081" s="15">
        <v>0.46</v>
      </c>
      <c r="F1081" s="16">
        <v>7.8402000000000003</v>
      </c>
      <c r="G1081" s="16">
        <v>3.61</v>
      </c>
    </row>
    <row r="1082" spans="1:7" ht="15" customHeight="1">
      <c r="A1082" s="13" t="s">
        <v>747</v>
      </c>
      <c r="B1082" s="14" t="s">
        <v>748</v>
      </c>
      <c r="C1082" s="13" t="s">
        <v>380</v>
      </c>
      <c r="D1082" s="13" t="s">
        <v>381</v>
      </c>
      <c r="E1082" s="15">
        <v>0.46</v>
      </c>
      <c r="F1082" s="16">
        <v>9.6273999999999997</v>
      </c>
      <c r="G1082" s="16">
        <v>4.43</v>
      </c>
    </row>
    <row r="1083" spans="1:7" ht="15" customHeight="1">
      <c r="A1083" s="11"/>
      <c r="B1083" s="11"/>
      <c r="C1083" s="11"/>
      <c r="D1083" s="11"/>
      <c r="E1083" s="153" t="s">
        <v>382</v>
      </c>
      <c r="F1083" s="154"/>
      <c r="G1083" s="17">
        <v>8.0399999999999991</v>
      </c>
    </row>
    <row r="1084" spans="1:7" ht="15" customHeight="1">
      <c r="A1084" s="151" t="s">
        <v>383</v>
      </c>
      <c r="B1084" s="152"/>
      <c r="C1084" s="12" t="s">
        <v>373</v>
      </c>
      <c r="D1084" s="12" t="s">
        <v>374</v>
      </c>
      <c r="E1084" s="12" t="s">
        <v>375</v>
      </c>
      <c r="F1084" s="12" t="s">
        <v>376</v>
      </c>
      <c r="G1084" s="12" t="s">
        <v>377</v>
      </c>
    </row>
    <row r="1085" spans="1:7" ht="15" customHeight="1">
      <c r="A1085" s="13" t="s">
        <v>796</v>
      </c>
      <c r="B1085" s="14" t="s">
        <v>797</v>
      </c>
      <c r="C1085" s="13" t="s">
        <v>380</v>
      </c>
      <c r="D1085" s="13" t="s">
        <v>430</v>
      </c>
      <c r="E1085" s="15">
        <v>2</v>
      </c>
      <c r="F1085" s="16">
        <v>1.62</v>
      </c>
      <c r="G1085" s="16">
        <v>3.24</v>
      </c>
    </row>
    <row r="1086" spans="1:7" ht="15" customHeight="1">
      <c r="A1086" s="13" t="s">
        <v>798</v>
      </c>
      <c r="B1086" s="14" t="s">
        <v>799</v>
      </c>
      <c r="C1086" s="13" t="s">
        <v>380</v>
      </c>
      <c r="D1086" s="13" t="s">
        <v>430</v>
      </c>
      <c r="E1086" s="15">
        <v>1</v>
      </c>
      <c r="F1086" s="16">
        <v>16.27</v>
      </c>
      <c r="G1086" s="16">
        <v>16.27</v>
      </c>
    </row>
    <row r="1087" spans="1:7" ht="15" customHeight="1">
      <c r="A1087" s="13" t="s">
        <v>800</v>
      </c>
      <c r="B1087" s="14" t="s">
        <v>801</v>
      </c>
      <c r="C1087" s="13" t="s">
        <v>380</v>
      </c>
      <c r="D1087" s="13" t="s">
        <v>395</v>
      </c>
      <c r="E1087" s="15">
        <v>4.5999999999999999E-2</v>
      </c>
      <c r="F1087" s="16">
        <v>33.9</v>
      </c>
      <c r="G1087" s="16">
        <v>1.56</v>
      </c>
    </row>
    <row r="1088" spans="1:7" ht="15" customHeight="1">
      <c r="A1088" s="11"/>
      <c r="B1088" s="11"/>
      <c r="C1088" s="11"/>
      <c r="D1088" s="11"/>
      <c r="E1088" s="153" t="s">
        <v>396</v>
      </c>
      <c r="F1088" s="154"/>
      <c r="G1088" s="17">
        <v>21.07</v>
      </c>
    </row>
    <row r="1089" spans="1:7" ht="15" customHeight="1">
      <c r="A1089" s="11"/>
      <c r="B1089" s="11"/>
      <c r="C1089" s="11"/>
      <c r="D1089" s="11"/>
      <c r="E1089" s="147" t="s">
        <v>397</v>
      </c>
      <c r="F1089" s="148"/>
      <c r="G1089" s="18">
        <v>29.11</v>
      </c>
    </row>
    <row r="1090" spans="1:7" ht="15" customHeight="1">
      <c r="A1090" s="11"/>
      <c r="B1090" s="11"/>
      <c r="C1090" s="11"/>
      <c r="D1090" s="11"/>
      <c r="E1090" s="147" t="s">
        <v>398</v>
      </c>
      <c r="F1090" s="148"/>
      <c r="G1090" s="18">
        <v>6.84</v>
      </c>
    </row>
    <row r="1091" spans="1:7" ht="15" customHeight="1">
      <c r="A1091" s="11"/>
      <c r="B1091" s="11"/>
      <c r="C1091" s="11"/>
      <c r="D1091" s="11"/>
      <c r="E1091" s="147" t="s">
        <v>399</v>
      </c>
      <c r="F1091" s="148"/>
      <c r="G1091" s="18">
        <v>35.950000000000003</v>
      </c>
    </row>
    <row r="1092" spans="1:7" ht="15" customHeight="1">
      <c r="A1092" s="11"/>
      <c r="B1092" s="11"/>
      <c r="C1092" s="11"/>
      <c r="D1092" s="11"/>
      <c r="E1092" s="147" t="s">
        <v>400</v>
      </c>
      <c r="F1092" s="148"/>
      <c r="G1092" s="18">
        <v>8.7286999999999999</v>
      </c>
    </row>
    <row r="1093" spans="1:7" ht="15" customHeight="1">
      <c r="A1093" s="11"/>
      <c r="B1093" s="11"/>
      <c r="C1093" s="11"/>
      <c r="D1093" s="11"/>
      <c r="E1093" s="147" t="s">
        <v>401</v>
      </c>
      <c r="F1093" s="148"/>
      <c r="G1093" s="18">
        <v>44.68</v>
      </c>
    </row>
    <row r="1094" spans="1:7" ht="9.9499999999999993" customHeight="1">
      <c r="A1094" s="11"/>
      <c r="B1094" s="11"/>
      <c r="C1094" s="155" t="s">
        <v>370</v>
      </c>
      <c r="D1094" s="156"/>
      <c r="E1094" s="11"/>
      <c r="F1094" s="11"/>
      <c r="G1094" s="11"/>
    </row>
    <row r="1095" spans="1:7" ht="20.100000000000001" customHeight="1">
      <c r="A1095" s="149" t="s">
        <v>802</v>
      </c>
      <c r="B1095" s="150"/>
      <c r="C1095" s="150"/>
      <c r="D1095" s="150"/>
      <c r="E1095" s="150"/>
      <c r="F1095" s="150"/>
      <c r="G1095" s="150"/>
    </row>
    <row r="1096" spans="1:7" ht="15" customHeight="1">
      <c r="A1096" s="151" t="s">
        <v>383</v>
      </c>
      <c r="B1096" s="152"/>
      <c r="C1096" s="12" t="s">
        <v>373</v>
      </c>
      <c r="D1096" s="12" t="s">
        <v>374</v>
      </c>
      <c r="E1096" s="12" t="s">
        <v>375</v>
      </c>
      <c r="F1096" s="12" t="s">
        <v>376</v>
      </c>
      <c r="G1096" s="12" t="s">
        <v>377</v>
      </c>
    </row>
    <row r="1097" spans="1:7" ht="20.100000000000001" customHeight="1">
      <c r="A1097" s="13" t="s">
        <v>803</v>
      </c>
      <c r="B1097" s="14" t="s">
        <v>804</v>
      </c>
      <c r="C1097" s="13" t="s">
        <v>405</v>
      </c>
      <c r="D1097" s="13" t="s">
        <v>430</v>
      </c>
      <c r="E1097" s="15">
        <v>2</v>
      </c>
      <c r="F1097" s="16">
        <v>1.4</v>
      </c>
      <c r="G1097" s="16">
        <v>2.8</v>
      </c>
    </row>
    <row r="1098" spans="1:7" ht="20.100000000000001" customHeight="1">
      <c r="A1098" s="13" t="s">
        <v>805</v>
      </c>
      <c r="B1098" s="14" t="s">
        <v>806</v>
      </c>
      <c r="C1098" s="13" t="s">
        <v>405</v>
      </c>
      <c r="D1098" s="13" t="s">
        <v>430</v>
      </c>
      <c r="E1098" s="15">
        <v>1</v>
      </c>
      <c r="F1098" s="16">
        <v>5.49</v>
      </c>
      <c r="G1098" s="16">
        <v>5.49</v>
      </c>
    </row>
    <row r="1099" spans="1:7" ht="27.95" customHeight="1">
      <c r="A1099" s="13" t="s">
        <v>807</v>
      </c>
      <c r="B1099" s="14" t="s">
        <v>808</v>
      </c>
      <c r="C1099" s="13" t="s">
        <v>405</v>
      </c>
      <c r="D1099" s="13" t="s">
        <v>430</v>
      </c>
      <c r="E1099" s="15">
        <v>0.04</v>
      </c>
      <c r="F1099" s="16">
        <v>13.23</v>
      </c>
      <c r="G1099" s="16">
        <v>0.53</v>
      </c>
    </row>
    <row r="1100" spans="1:7" ht="15" customHeight="1">
      <c r="A1100" s="11"/>
      <c r="B1100" s="11"/>
      <c r="C1100" s="11"/>
      <c r="D1100" s="11"/>
      <c r="E1100" s="153" t="s">
        <v>396</v>
      </c>
      <c r="F1100" s="154"/>
      <c r="G1100" s="17">
        <v>8.82</v>
      </c>
    </row>
    <row r="1101" spans="1:7" ht="15" customHeight="1">
      <c r="A1101" s="151" t="s">
        <v>414</v>
      </c>
      <c r="B1101" s="152"/>
      <c r="C1101" s="12" t="s">
        <v>373</v>
      </c>
      <c r="D1101" s="12" t="s">
        <v>374</v>
      </c>
      <c r="E1101" s="12" t="s">
        <v>375</v>
      </c>
      <c r="F1101" s="12" t="s">
        <v>376</v>
      </c>
      <c r="G1101" s="12" t="s">
        <v>377</v>
      </c>
    </row>
    <row r="1102" spans="1:7" ht="20.100000000000001" customHeight="1">
      <c r="A1102" s="13" t="s">
        <v>734</v>
      </c>
      <c r="B1102" s="14" t="s">
        <v>735</v>
      </c>
      <c r="C1102" s="13" t="s">
        <v>405</v>
      </c>
      <c r="D1102" s="13" t="s">
        <v>381</v>
      </c>
      <c r="E1102" s="15">
        <v>0.06</v>
      </c>
      <c r="F1102" s="16">
        <v>9.8000000000000007</v>
      </c>
      <c r="G1102" s="16">
        <v>0.59</v>
      </c>
    </row>
    <row r="1103" spans="1:7" ht="20.100000000000001" customHeight="1">
      <c r="A1103" s="13" t="s">
        <v>736</v>
      </c>
      <c r="B1103" s="14" t="s">
        <v>737</v>
      </c>
      <c r="C1103" s="13" t="s">
        <v>405</v>
      </c>
      <c r="D1103" s="13" t="s">
        <v>381</v>
      </c>
      <c r="E1103" s="15">
        <v>0.06</v>
      </c>
      <c r="F1103" s="16">
        <v>11.78</v>
      </c>
      <c r="G1103" s="16">
        <v>0.71</v>
      </c>
    </row>
    <row r="1104" spans="1:7" ht="15" customHeight="1">
      <c r="A1104" s="11"/>
      <c r="B1104" s="11"/>
      <c r="C1104" s="11"/>
      <c r="D1104" s="11"/>
      <c r="E1104" s="153" t="s">
        <v>431</v>
      </c>
      <c r="F1104" s="154"/>
      <c r="G1104" s="17">
        <v>1.3</v>
      </c>
    </row>
    <row r="1105" spans="1:7" ht="15" customHeight="1">
      <c r="A1105" s="11"/>
      <c r="B1105" s="11"/>
      <c r="C1105" s="11"/>
      <c r="D1105" s="11"/>
      <c r="E1105" s="147" t="s">
        <v>397</v>
      </c>
      <c r="F1105" s="148"/>
      <c r="G1105" s="18">
        <v>10.119999999999999</v>
      </c>
    </row>
    <row r="1106" spans="1:7" ht="15" customHeight="1">
      <c r="A1106" s="11"/>
      <c r="B1106" s="11"/>
      <c r="C1106" s="11"/>
      <c r="D1106" s="11"/>
      <c r="E1106" s="147" t="s">
        <v>398</v>
      </c>
      <c r="F1106" s="148"/>
      <c r="G1106" s="18">
        <v>0.55000000000000004</v>
      </c>
    </row>
    <row r="1107" spans="1:7" ht="15" customHeight="1">
      <c r="A1107" s="11"/>
      <c r="B1107" s="11"/>
      <c r="C1107" s="11"/>
      <c r="D1107" s="11"/>
      <c r="E1107" s="147" t="s">
        <v>399</v>
      </c>
      <c r="F1107" s="148"/>
      <c r="G1107" s="18">
        <v>10.67</v>
      </c>
    </row>
    <row r="1108" spans="1:7" ht="15" customHeight="1">
      <c r="A1108" s="11"/>
      <c r="B1108" s="11"/>
      <c r="C1108" s="11"/>
      <c r="D1108" s="11"/>
      <c r="E1108" s="147" t="s">
        <v>400</v>
      </c>
      <c r="F1108" s="148"/>
      <c r="G1108" s="18">
        <v>2.5907</v>
      </c>
    </row>
    <row r="1109" spans="1:7" ht="15" customHeight="1">
      <c r="A1109" s="11"/>
      <c r="B1109" s="11"/>
      <c r="C1109" s="11"/>
      <c r="D1109" s="11"/>
      <c r="E1109" s="147" t="s">
        <v>401</v>
      </c>
      <c r="F1109" s="148"/>
      <c r="G1109" s="18">
        <v>13.26</v>
      </c>
    </row>
    <row r="1110" spans="1:7" ht="9.9499999999999993" customHeight="1">
      <c r="A1110" s="11"/>
      <c r="B1110" s="11"/>
      <c r="C1110" s="155" t="s">
        <v>370</v>
      </c>
      <c r="D1110" s="156"/>
      <c r="E1110" s="11"/>
      <c r="F1110" s="11"/>
      <c r="G1110" s="11"/>
    </row>
    <row r="1111" spans="1:7" ht="20.100000000000001" customHeight="1">
      <c r="A1111" s="149" t="s">
        <v>809</v>
      </c>
      <c r="B1111" s="150"/>
      <c r="C1111" s="150"/>
      <c r="D1111" s="150"/>
      <c r="E1111" s="150"/>
      <c r="F1111" s="150"/>
      <c r="G1111" s="150"/>
    </row>
    <row r="1112" spans="1:7" ht="15" customHeight="1">
      <c r="A1112" s="151" t="s">
        <v>383</v>
      </c>
      <c r="B1112" s="152"/>
      <c r="C1112" s="12" t="s">
        <v>373</v>
      </c>
      <c r="D1112" s="12" t="s">
        <v>374</v>
      </c>
      <c r="E1112" s="12" t="s">
        <v>375</v>
      </c>
      <c r="F1112" s="12" t="s">
        <v>376</v>
      </c>
      <c r="G1112" s="12" t="s">
        <v>377</v>
      </c>
    </row>
    <row r="1113" spans="1:7" ht="15" customHeight="1">
      <c r="A1113" s="13" t="s">
        <v>726</v>
      </c>
      <c r="B1113" s="14" t="s">
        <v>727</v>
      </c>
      <c r="C1113" s="13" t="s">
        <v>405</v>
      </c>
      <c r="D1113" s="13" t="s">
        <v>430</v>
      </c>
      <c r="E1113" s="15">
        <v>9.9000000000000008E-3</v>
      </c>
      <c r="F1113" s="16">
        <v>36.130000000000003</v>
      </c>
      <c r="G1113" s="16">
        <v>0.36</v>
      </c>
    </row>
    <row r="1114" spans="1:7" ht="20.100000000000001" customHeight="1">
      <c r="A1114" s="13" t="s">
        <v>810</v>
      </c>
      <c r="B1114" s="14" t="s">
        <v>811</v>
      </c>
      <c r="C1114" s="13" t="s">
        <v>405</v>
      </c>
      <c r="D1114" s="13" t="s">
        <v>430</v>
      </c>
      <c r="E1114" s="15">
        <v>1</v>
      </c>
      <c r="F1114" s="16">
        <v>2.27</v>
      </c>
      <c r="G1114" s="16">
        <v>2.27</v>
      </c>
    </row>
    <row r="1115" spans="1:7" ht="15" customHeight="1">
      <c r="A1115" s="13" t="s">
        <v>730</v>
      </c>
      <c r="B1115" s="14" t="s">
        <v>731</v>
      </c>
      <c r="C1115" s="13" t="s">
        <v>405</v>
      </c>
      <c r="D1115" s="13" t="s">
        <v>430</v>
      </c>
      <c r="E1115" s="15">
        <v>1.4999999999999999E-2</v>
      </c>
      <c r="F1115" s="16">
        <v>31.37</v>
      </c>
      <c r="G1115" s="16">
        <v>0.47</v>
      </c>
    </row>
    <row r="1116" spans="1:7" ht="15" customHeight="1">
      <c r="A1116" s="13" t="s">
        <v>732</v>
      </c>
      <c r="B1116" s="14" t="s">
        <v>733</v>
      </c>
      <c r="C1116" s="13" t="s">
        <v>405</v>
      </c>
      <c r="D1116" s="13" t="s">
        <v>430</v>
      </c>
      <c r="E1116" s="15">
        <v>2.1000000000000001E-2</v>
      </c>
      <c r="F1116" s="16">
        <v>1.31</v>
      </c>
      <c r="G1116" s="16">
        <v>0.03</v>
      </c>
    </row>
    <row r="1117" spans="1:7" ht="15" customHeight="1">
      <c r="A1117" s="11"/>
      <c r="B1117" s="11"/>
      <c r="C1117" s="11"/>
      <c r="D1117" s="11"/>
      <c r="E1117" s="153" t="s">
        <v>396</v>
      </c>
      <c r="F1117" s="154"/>
      <c r="G1117" s="17">
        <v>3.13</v>
      </c>
    </row>
    <row r="1118" spans="1:7" ht="15" customHeight="1">
      <c r="A1118" s="151" t="s">
        <v>414</v>
      </c>
      <c r="B1118" s="152"/>
      <c r="C1118" s="12" t="s">
        <v>373</v>
      </c>
      <c r="D1118" s="12" t="s">
        <v>374</v>
      </c>
      <c r="E1118" s="12" t="s">
        <v>375</v>
      </c>
      <c r="F1118" s="12" t="s">
        <v>376</v>
      </c>
      <c r="G1118" s="12" t="s">
        <v>377</v>
      </c>
    </row>
    <row r="1119" spans="1:7" ht="20.100000000000001" customHeight="1">
      <c r="A1119" s="13" t="s">
        <v>734</v>
      </c>
      <c r="B1119" s="14" t="s">
        <v>735</v>
      </c>
      <c r="C1119" s="13" t="s">
        <v>405</v>
      </c>
      <c r="D1119" s="13" t="s">
        <v>381</v>
      </c>
      <c r="E1119" s="15">
        <v>0.1</v>
      </c>
      <c r="F1119" s="16">
        <v>9.8000000000000007</v>
      </c>
      <c r="G1119" s="16">
        <v>0.98</v>
      </c>
    </row>
    <row r="1120" spans="1:7" ht="20.100000000000001" customHeight="1">
      <c r="A1120" s="13" t="s">
        <v>736</v>
      </c>
      <c r="B1120" s="14" t="s">
        <v>737</v>
      </c>
      <c r="C1120" s="13" t="s">
        <v>405</v>
      </c>
      <c r="D1120" s="13" t="s">
        <v>381</v>
      </c>
      <c r="E1120" s="15">
        <v>0.1</v>
      </c>
      <c r="F1120" s="16">
        <v>11.78</v>
      </c>
      <c r="G1120" s="16">
        <v>1.18</v>
      </c>
    </row>
    <row r="1121" spans="1:7" ht="15" customHeight="1">
      <c r="A1121" s="11"/>
      <c r="B1121" s="11"/>
      <c r="C1121" s="11"/>
      <c r="D1121" s="11"/>
      <c r="E1121" s="153" t="s">
        <v>431</v>
      </c>
      <c r="F1121" s="154"/>
      <c r="G1121" s="17">
        <v>2.16</v>
      </c>
    </row>
    <row r="1122" spans="1:7" ht="15" customHeight="1">
      <c r="A1122" s="11"/>
      <c r="B1122" s="11"/>
      <c r="C1122" s="11"/>
      <c r="D1122" s="11"/>
      <c r="E1122" s="147" t="s">
        <v>397</v>
      </c>
      <c r="F1122" s="148"/>
      <c r="G1122" s="18">
        <v>5.29</v>
      </c>
    </row>
    <row r="1123" spans="1:7" ht="15" customHeight="1">
      <c r="A1123" s="11"/>
      <c r="B1123" s="11"/>
      <c r="C1123" s="11"/>
      <c r="D1123" s="11"/>
      <c r="E1123" s="147" t="s">
        <v>398</v>
      </c>
      <c r="F1123" s="148"/>
      <c r="G1123" s="18">
        <v>0.93</v>
      </c>
    </row>
    <row r="1124" spans="1:7" ht="15" customHeight="1">
      <c r="A1124" s="11"/>
      <c r="B1124" s="11"/>
      <c r="C1124" s="11"/>
      <c r="D1124" s="11"/>
      <c r="E1124" s="147" t="s">
        <v>399</v>
      </c>
      <c r="F1124" s="148"/>
      <c r="G1124" s="18">
        <v>6.22</v>
      </c>
    </row>
    <row r="1125" spans="1:7" ht="15" customHeight="1">
      <c r="A1125" s="11"/>
      <c r="B1125" s="11"/>
      <c r="C1125" s="11"/>
      <c r="D1125" s="11"/>
      <c r="E1125" s="147" t="s">
        <v>400</v>
      </c>
      <c r="F1125" s="148"/>
      <c r="G1125" s="18">
        <v>1.5102</v>
      </c>
    </row>
    <row r="1126" spans="1:7" ht="15" customHeight="1">
      <c r="A1126" s="11"/>
      <c r="B1126" s="11"/>
      <c r="C1126" s="11"/>
      <c r="D1126" s="11"/>
      <c r="E1126" s="147" t="s">
        <v>401</v>
      </c>
      <c r="F1126" s="148"/>
      <c r="G1126" s="18">
        <v>7.73</v>
      </c>
    </row>
    <row r="1127" spans="1:7" ht="9.9499999999999993" customHeight="1">
      <c r="A1127" s="11"/>
      <c r="B1127" s="11"/>
      <c r="C1127" s="155" t="s">
        <v>370</v>
      </c>
      <c r="D1127" s="156"/>
      <c r="E1127" s="11"/>
      <c r="F1127" s="11"/>
      <c r="G1127" s="11"/>
    </row>
    <row r="1128" spans="1:7" ht="20.100000000000001" customHeight="1">
      <c r="A1128" s="149" t="s">
        <v>812</v>
      </c>
      <c r="B1128" s="150"/>
      <c r="C1128" s="150"/>
      <c r="D1128" s="150"/>
      <c r="E1128" s="150"/>
      <c r="F1128" s="150"/>
      <c r="G1128" s="150"/>
    </row>
    <row r="1129" spans="1:7" ht="15" customHeight="1">
      <c r="A1129" s="151" t="s">
        <v>383</v>
      </c>
      <c r="B1129" s="152"/>
      <c r="C1129" s="12" t="s">
        <v>373</v>
      </c>
      <c r="D1129" s="12" t="s">
        <v>374</v>
      </c>
      <c r="E1129" s="12" t="s">
        <v>375</v>
      </c>
      <c r="F1129" s="12" t="s">
        <v>376</v>
      </c>
      <c r="G1129" s="12" t="s">
        <v>377</v>
      </c>
    </row>
    <row r="1130" spans="1:7" ht="20.100000000000001" customHeight="1">
      <c r="A1130" s="13" t="s">
        <v>813</v>
      </c>
      <c r="B1130" s="14" t="s">
        <v>814</v>
      </c>
      <c r="C1130" s="13" t="s">
        <v>405</v>
      </c>
      <c r="D1130" s="13" t="s">
        <v>430</v>
      </c>
      <c r="E1130" s="15">
        <v>1</v>
      </c>
      <c r="F1130" s="16">
        <v>2.4900000000000002</v>
      </c>
      <c r="G1130" s="16">
        <v>2.4900000000000002</v>
      </c>
    </row>
    <row r="1131" spans="1:7" ht="20.100000000000001" customHeight="1">
      <c r="A1131" s="13" t="s">
        <v>815</v>
      </c>
      <c r="B1131" s="14" t="s">
        <v>816</v>
      </c>
      <c r="C1131" s="13" t="s">
        <v>405</v>
      </c>
      <c r="D1131" s="13" t="s">
        <v>430</v>
      </c>
      <c r="E1131" s="15">
        <v>1</v>
      </c>
      <c r="F1131" s="16">
        <v>5.16</v>
      </c>
      <c r="G1131" s="16">
        <v>5.16</v>
      </c>
    </row>
    <row r="1132" spans="1:7" ht="27.95" customHeight="1">
      <c r="A1132" s="13" t="s">
        <v>807</v>
      </c>
      <c r="B1132" s="14" t="s">
        <v>808</v>
      </c>
      <c r="C1132" s="13" t="s">
        <v>405</v>
      </c>
      <c r="D1132" s="13" t="s">
        <v>430</v>
      </c>
      <c r="E1132" s="15">
        <v>4.5999999999999999E-2</v>
      </c>
      <c r="F1132" s="16">
        <v>13.23</v>
      </c>
      <c r="G1132" s="16">
        <v>0.61</v>
      </c>
    </row>
    <row r="1133" spans="1:7" ht="15" customHeight="1">
      <c r="A1133" s="11"/>
      <c r="B1133" s="11"/>
      <c r="C1133" s="11"/>
      <c r="D1133" s="11"/>
      <c r="E1133" s="153" t="s">
        <v>396</v>
      </c>
      <c r="F1133" s="154"/>
      <c r="G1133" s="17">
        <v>8.26</v>
      </c>
    </row>
    <row r="1134" spans="1:7" ht="15" customHeight="1">
      <c r="A1134" s="151" t="s">
        <v>414</v>
      </c>
      <c r="B1134" s="152"/>
      <c r="C1134" s="12" t="s">
        <v>373</v>
      </c>
      <c r="D1134" s="12" t="s">
        <v>374</v>
      </c>
      <c r="E1134" s="12" t="s">
        <v>375</v>
      </c>
      <c r="F1134" s="12" t="s">
        <v>376</v>
      </c>
      <c r="G1134" s="12" t="s">
        <v>377</v>
      </c>
    </row>
    <row r="1135" spans="1:7" ht="20.100000000000001" customHeight="1">
      <c r="A1135" s="13" t="s">
        <v>734</v>
      </c>
      <c r="B1135" s="14" t="s">
        <v>735</v>
      </c>
      <c r="C1135" s="13" t="s">
        <v>405</v>
      </c>
      <c r="D1135" s="13" t="s">
        <v>381</v>
      </c>
      <c r="E1135" s="15">
        <v>0.12</v>
      </c>
      <c r="F1135" s="16">
        <v>9.8000000000000007</v>
      </c>
      <c r="G1135" s="16">
        <v>1.18</v>
      </c>
    </row>
    <row r="1136" spans="1:7" ht="20.100000000000001" customHeight="1">
      <c r="A1136" s="13" t="s">
        <v>736</v>
      </c>
      <c r="B1136" s="14" t="s">
        <v>737</v>
      </c>
      <c r="C1136" s="13" t="s">
        <v>405</v>
      </c>
      <c r="D1136" s="13" t="s">
        <v>381</v>
      </c>
      <c r="E1136" s="15">
        <v>0.12</v>
      </c>
      <c r="F1136" s="16">
        <v>11.78</v>
      </c>
      <c r="G1136" s="16">
        <v>1.41</v>
      </c>
    </row>
    <row r="1137" spans="1:7" ht="15" customHeight="1">
      <c r="A1137" s="11"/>
      <c r="B1137" s="11"/>
      <c r="C1137" s="11"/>
      <c r="D1137" s="11"/>
      <c r="E1137" s="153" t="s">
        <v>431</v>
      </c>
      <c r="F1137" s="154"/>
      <c r="G1137" s="17">
        <v>2.59</v>
      </c>
    </row>
    <row r="1138" spans="1:7" ht="15" customHeight="1">
      <c r="A1138" s="11"/>
      <c r="B1138" s="11"/>
      <c r="C1138" s="11"/>
      <c r="D1138" s="11"/>
      <c r="E1138" s="147" t="s">
        <v>397</v>
      </c>
      <c r="F1138" s="148"/>
      <c r="G1138" s="18">
        <v>10.85</v>
      </c>
    </row>
    <row r="1139" spans="1:7" ht="15" customHeight="1">
      <c r="A1139" s="11"/>
      <c r="B1139" s="11"/>
      <c r="C1139" s="11"/>
      <c r="D1139" s="11"/>
      <c r="E1139" s="147" t="s">
        <v>398</v>
      </c>
      <c r="F1139" s="148"/>
      <c r="G1139" s="18">
        <v>1.1399999999999999</v>
      </c>
    </row>
    <row r="1140" spans="1:7" ht="15" customHeight="1">
      <c r="A1140" s="11"/>
      <c r="B1140" s="11"/>
      <c r="C1140" s="11"/>
      <c r="D1140" s="11"/>
      <c r="E1140" s="147" t="s">
        <v>399</v>
      </c>
      <c r="F1140" s="148"/>
      <c r="G1140" s="18">
        <v>11.99</v>
      </c>
    </row>
    <row r="1141" spans="1:7" ht="15" customHeight="1">
      <c r="A1141" s="11"/>
      <c r="B1141" s="11"/>
      <c r="C1141" s="11"/>
      <c r="D1141" s="11"/>
      <c r="E1141" s="147" t="s">
        <v>400</v>
      </c>
      <c r="F1141" s="148"/>
      <c r="G1141" s="18">
        <v>2.9112</v>
      </c>
    </row>
    <row r="1142" spans="1:7" ht="15" customHeight="1">
      <c r="A1142" s="11"/>
      <c r="B1142" s="11"/>
      <c r="C1142" s="11"/>
      <c r="D1142" s="11"/>
      <c r="E1142" s="147" t="s">
        <v>401</v>
      </c>
      <c r="F1142" s="148"/>
      <c r="G1142" s="18">
        <v>14.9</v>
      </c>
    </row>
    <row r="1143" spans="1:7" ht="9.9499999999999993" customHeight="1">
      <c r="A1143" s="11"/>
      <c r="B1143" s="11"/>
      <c r="C1143" s="155" t="s">
        <v>370</v>
      </c>
      <c r="D1143" s="156"/>
      <c r="E1143" s="11"/>
      <c r="F1143" s="11"/>
      <c r="G1143" s="11"/>
    </row>
    <row r="1144" spans="1:7" ht="20.100000000000001" customHeight="1">
      <c r="A1144" s="149" t="s">
        <v>817</v>
      </c>
      <c r="B1144" s="150"/>
      <c r="C1144" s="150"/>
      <c r="D1144" s="150"/>
      <c r="E1144" s="150"/>
      <c r="F1144" s="150"/>
      <c r="G1144" s="150"/>
    </row>
    <row r="1145" spans="1:7" ht="15" customHeight="1">
      <c r="A1145" s="151" t="s">
        <v>383</v>
      </c>
      <c r="B1145" s="152"/>
      <c r="C1145" s="12" t="s">
        <v>373</v>
      </c>
      <c r="D1145" s="12" t="s">
        <v>374</v>
      </c>
      <c r="E1145" s="12" t="s">
        <v>375</v>
      </c>
      <c r="F1145" s="12" t="s">
        <v>376</v>
      </c>
      <c r="G1145" s="12" t="s">
        <v>377</v>
      </c>
    </row>
    <row r="1146" spans="1:7" ht="20.100000000000001" customHeight="1">
      <c r="A1146" s="13" t="s">
        <v>803</v>
      </c>
      <c r="B1146" s="14" t="s">
        <v>804</v>
      </c>
      <c r="C1146" s="13" t="s">
        <v>405</v>
      </c>
      <c r="D1146" s="13" t="s">
        <v>430</v>
      </c>
      <c r="E1146" s="15">
        <v>1</v>
      </c>
      <c r="F1146" s="16">
        <v>1.4</v>
      </c>
      <c r="G1146" s="16">
        <v>1.4</v>
      </c>
    </row>
    <row r="1147" spans="1:7" ht="20.100000000000001" customHeight="1">
      <c r="A1147" s="13" t="s">
        <v>818</v>
      </c>
      <c r="B1147" s="14" t="s">
        <v>819</v>
      </c>
      <c r="C1147" s="13" t="s">
        <v>405</v>
      </c>
      <c r="D1147" s="13" t="s">
        <v>430</v>
      </c>
      <c r="E1147" s="15">
        <v>1</v>
      </c>
      <c r="F1147" s="16">
        <v>1.56</v>
      </c>
      <c r="G1147" s="16">
        <v>1.56</v>
      </c>
    </row>
    <row r="1148" spans="1:7" ht="27.95" customHeight="1">
      <c r="A1148" s="13" t="s">
        <v>807</v>
      </c>
      <c r="B1148" s="14" t="s">
        <v>808</v>
      </c>
      <c r="C1148" s="13" t="s">
        <v>405</v>
      </c>
      <c r="D1148" s="13" t="s">
        <v>430</v>
      </c>
      <c r="E1148" s="15">
        <v>0.02</v>
      </c>
      <c r="F1148" s="16">
        <v>13.23</v>
      </c>
      <c r="G1148" s="16">
        <v>0.26</v>
      </c>
    </row>
    <row r="1149" spans="1:7" ht="15" customHeight="1">
      <c r="A1149" s="11"/>
      <c r="B1149" s="11"/>
      <c r="C1149" s="11"/>
      <c r="D1149" s="11"/>
      <c r="E1149" s="153" t="s">
        <v>396</v>
      </c>
      <c r="F1149" s="154"/>
      <c r="G1149" s="17">
        <v>3.22</v>
      </c>
    </row>
    <row r="1150" spans="1:7" ht="15" customHeight="1">
      <c r="A1150" s="151" t="s">
        <v>414</v>
      </c>
      <c r="B1150" s="152"/>
      <c r="C1150" s="12" t="s">
        <v>373</v>
      </c>
      <c r="D1150" s="12" t="s">
        <v>374</v>
      </c>
      <c r="E1150" s="12" t="s">
        <v>375</v>
      </c>
      <c r="F1150" s="12" t="s">
        <v>376</v>
      </c>
      <c r="G1150" s="12" t="s">
        <v>377</v>
      </c>
    </row>
    <row r="1151" spans="1:7" ht="20.100000000000001" customHeight="1">
      <c r="A1151" s="13" t="s">
        <v>734</v>
      </c>
      <c r="B1151" s="14" t="s">
        <v>735</v>
      </c>
      <c r="C1151" s="13" t="s">
        <v>405</v>
      </c>
      <c r="D1151" s="13" t="s">
        <v>381</v>
      </c>
      <c r="E1151" s="15">
        <v>0.04</v>
      </c>
      <c r="F1151" s="16">
        <v>9.8000000000000007</v>
      </c>
      <c r="G1151" s="16">
        <v>0.39</v>
      </c>
    </row>
    <row r="1152" spans="1:7" ht="20.100000000000001" customHeight="1">
      <c r="A1152" s="13" t="s">
        <v>736</v>
      </c>
      <c r="B1152" s="14" t="s">
        <v>737</v>
      </c>
      <c r="C1152" s="13" t="s">
        <v>405</v>
      </c>
      <c r="D1152" s="13" t="s">
        <v>381</v>
      </c>
      <c r="E1152" s="15">
        <v>0.04</v>
      </c>
      <c r="F1152" s="16">
        <v>11.78</v>
      </c>
      <c r="G1152" s="16">
        <v>0.47</v>
      </c>
    </row>
    <row r="1153" spans="1:7" ht="15" customHeight="1">
      <c r="A1153" s="11"/>
      <c r="B1153" s="11"/>
      <c r="C1153" s="11"/>
      <c r="D1153" s="11"/>
      <c r="E1153" s="153" t="s">
        <v>431</v>
      </c>
      <c r="F1153" s="154"/>
      <c r="G1153" s="17">
        <v>0.86</v>
      </c>
    </row>
    <row r="1154" spans="1:7" ht="15" customHeight="1">
      <c r="A1154" s="11"/>
      <c r="B1154" s="11"/>
      <c r="C1154" s="11"/>
      <c r="D1154" s="11"/>
      <c r="E1154" s="147" t="s">
        <v>397</v>
      </c>
      <c r="F1154" s="148"/>
      <c r="G1154" s="18">
        <v>4.08</v>
      </c>
    </row>
    <row r="1155" spans="1:7" ht="15" customHeight="1">
      <c r="A1155" s="11"/>
      <c r="B1155" s="11"/>
      <c r="C1155" s="11"/>
      <c r="D1155" s="11"/>
      <c r="E1155" s="147" t="s">
        <v>398</v>
      </c>
      <c r="F1155" s="148"/>
      <c r="G1155" s="18">
        <v>0.38</v>
      </c>
    </row>
    <row r="1156" spans="1:7" ht="15" customHeight="1">
      <c r="A1156" s="11"/>
      <c r="B1156" s="11"/>
      <c r="C1156" s="11"/>
      <c r="D1156" s="11"/>
      <c r="E1156" s="147" t="s">
        <v>399</v>
      </c>
      <c r="F1156" s="148"/>
      <c r="G1156" s="18">
        <v>4.46</v>
      </c>
    </row>
    <row r="1157" spans="1:7" ht="15" customHeight="1">
      <c r="A1157" s="11"/>
      <c r="B1157" s="11"/>
      <c r="C1157" s="11"/>
      <c r="D1157" s="11"/>
      <c r="E1157" s="147" t="s">
        <v>400</v>
      </c>
      <c r="F1157" s="148"/>
      <c r="G1157" s="18">
        <v>1.0829</v>
      </c>
    </row>
    <row r="1158" spans="1:7" ht="15" customHeight="1">
      <c r="A1158" s="11"/>
      <c r="B1158" s="11"/>
      <c r="C1158" s="11"/>
      <c r="D1158" s="11"/>
      <c r="E1158" s="147" t="s">
        <v>401</v>
      </c>
      <c r="F1158" s="148"/>
      <c r="G1158" s="18">
        <v>5.54</v>
      </c>
    </row>
    <row r="1159" spans="1:7" ht="9.9499999999999993" customHeight="1">
      <c r="A1159" s="11"/>
      <c r="B1159" s="11"/>
      <c r="C1159" s="155" t="s">
        <v>370</v>
      </c>
      <c r="D1159" s="156"/>
      <c r="E1159" s="11"/>
      <c r="F1159" s="11"/>
      <c r="G1159" s="11"/>
    </row>
    <row r="1160" spans="1:7" ht="20.100000000000001" customHeight="1">
      <c r="A1160" s="149" t="s">
        <v>820</v>
      </c>
      <c r="B1160" s="150"/>
      <c r="C1160" s="150"/>
      <c r="D1160" s="150"/>
      <c r="E1160" s="150"/>
      <c r="F1160" s="150"/>
      <c r="G1160" s="150"/>
    </row>
    <row r="1161" spans="1:7" ht="15" customHeight="1">
      <c r="A1161" s="151" t="s">
        <v>372</v>
      </c>
      <c r="B1161" s="152"/>
      <c r="C1161" s="12" t="s">
        <v>373</v>
      </c>
      <c r="D1161" s="12" t="s">
        <v>374</v>
      </c>
      <c r="E1161" s="12" t="s">
        <v>375</v>
      </c>
      <c r="F1161" s="12" t="s">
        <v>376</v>
      </c>
      <c r="G1161" s="12" t="s">
        <v>377</v>
      </c>
    </row>
    <row r="1162" spans="1:7" ht="15" customHeight="1">
      <c r="A1162" s="13" t="s">
        <v>745</v>
      </c>
      <c r="B1162" s="14" t="s">
        <v>746</v>
      </c>
      <c r="C1162" s="13" t="s">
        <v>380</v>
      </c>
      <c r="D1162" s="13" t="s">
        <v>381</v>
      </c>
      <c r="E1162" s="15">
        <v>0.5</v>
      </c>
      <c r="F1162" s="16">
        <v>7.8402000000000003</v>
      </c>
      <c r="G1162" s="16">
        <v>3.92</v>
      </c>
    </row>
    <row r="1163" spans="1:7" ht="15" customHeight="1">
      <c r="A1163" s="13" t="s">
        <v>747</v>
      </c>
      <c r="B1163" s="14" t="s">
        <v>748</v>
      </c>
      <c r="C1163" s="13" t="s">
        <v>380</v>
      </c>
      <c r="D1163" s="13" t="s">
        <v>381</v>
      </c>
      <c r="E1163" s="15">
        <v>0.5</v>
      </c>
      <c r="F1163" s="16">
        <v>9.6273999999999997</v>
      </c>
      <c r="G1163" s="16">
        <v>4.8099999999999996</v>
      </c>
    </row>
    <row r="1164" spans="1:7" ht="15" customHeight="1">
      <c r="A1164" s="11"/>
      <c r="B1164" s="11"/>
      <c r="C1164" s="11"/>
      <c r="D1164" s="11"/>
      <c r="E1164" s="153" t="s">
        <v>382</v>
      </c>
      <c r="F1164" s="154"/>
      <c r="G1164" s="17">
        <v>8.73</v>
      </c>
    </row>
    <row r="1165" spans="1:7" ht="15" customHeight="1">
      <c r="A1165" s="151" t="s">
        <v>383</v>
      </c>
      <c r="B1165" s="152"/>
      <c r="C1165" s="12" t="s">
        <v>373</v>
      </c>
      <c r="D1165" s="12" t="s">
        <v>374</v>
      </c>
      <c r="E1165" s="12" t="s">
        <v>375</v>
      </c>
      <c r="F1165" s="12" t="s">
        <v>376</v>
      </c>
      <c r="G1165" s="12" t="s">
        <v>377</v>
      </c>
    </row>
    <row r="1166" spans="1:7" ht="15" customHeight="1">
      <c r="A1166" s="13" t="s">
        <v>821</v>
      </c>
      <c r="B1166" s="14" t="s">
        <v>822</v>
      </c>
      <c r="C1166" s="13" t="s">
        <v>380</v>
      </c>
      <c r="D1166" s="13" t="s">
        <v>430</v>
      </c>
      <c r="E1166" s="15">
        <v>1</v>
      </c>
      <c r="F1166" s="16">
        <v>21.49</v>
      </c>
      <c r="G1166" s="16">
        <v>21.49</v>
      </c>
    </row>
    <row r="1167" spans="1:7" ht="15" customHeight="1">
      <c r="A1167" s="11"/>
      <c r="B1167" s="11"/>
      <c r="C1167" s="11"/>
      <c r="D1167" s="11"/>
      <c r="E1167" s="153" t="s">
        <v>396</v>
      </c>
      <c r="F1167" s="154"/>
      <c r="G1167" s="17">
        <v>21.49</v>
      </c>
    </row>
    <row r="1168" spans="1:7" ht="15" customHeight="1">
      <c r="A1168" s="11"/>
      <c r="B1168" s="11"/>
      <c r="C1168" s="11"/>
      <c r="D1168" s="11"/>
      <c r="E1168" s="147" t="s">
        <v>397</v>
      </c>
      <c r="F1168" s="148"/>
      <c r="G1168" s="18">
        <v>30.22</v>
      </c>
    </row>
    <row r="1169" spans="1:7" ht="15" customHeight="1">
      <c r="A1169" s="11"/>
      <c r="B1169" s="11"/>
      <c r="C1169" s="11"/>
      <c r="D1169" s="11"/>
      <c r="E1169" s="147" t="s">
        <v>398</v>
      </c>
      <c r="F1169" s="148"/>
      <c r="G1169" s="18">
        <v>7.45</v>
      </c>
    </row>
    <row r="1170" spans="1:7" ht="15" customHeight="1">
      <c r="A1170" s="11"/>
      <c r="B1170" s="11"/>
      <c r="C1170" s="11"/>
      <c r="D1170" s="11"/>
      <c r="E1170" s="147" t="s">
        <v>399</v>
      </c>
      <c r="F1170" s="148"/>
      <c r="G1170" s="18">
        <v>37.67</v>
      </c>
    </row>
    <row r="1171" spans="1:7" ht="15" customHeight="1">
      <c r="A1171" s="11"/>
      <c r="B1171" s="11"/>
      <c r="C1171" s="11"/>
      <c r="D1171" s="11"/>
      <c r="E1171" s="147" t="s">
        <v>400</v>
      </c>
      <c r="F1171" s="148"/>
      <c r="G1171" s="18">
        <v>9.1463000000000001</v>
      </c>
    </row>
    <row r="1172" spans="1:7" ht="15" customHeight="1">
      <c r="A1172" s="11"/>
      <c r="B1172" s="11"/>
      <c r="C1172" s="11"/>
      <c r="D1172" s="11"/>
      <c r="E1172" s="147" t="s">
        <v>401</v>
      </c>
      <c r="F1172" s="148"/>
      <c r="G1172" s="18">
        <v>46.82</v>
      </c>
    </row>
    <row r="1173" spans="1:7" ht="9.9499999999999993" customHeight="1">
      <c r="A1173" s="11"/>
      <c r="B1173" s="11"/>
      <c r="C1173" s="155" t="s">
        <v>370</v>
      </c>
      <c r="D1173" s="156"/>
      <c r="E1173" s="11"/>
      <c r="F1173" s="11"/>
      <c r="G1173" s="11"/>
    </row>
    <row r="1174" spans="1:7" ht="20.100000000000001" customHeight="1">
      <c r="A1174" s="149" t="s">
        <v>823</v>
      </c>
      <c r="B1174" s="150"/>
      <c r="C1174" s="150"/>
      <c r="D1174" s="150"/>
      <c r="E1174" s="150"/>
      <c r="F1174" s="150"/>
      <c r="G1174" s="150"/>
    </row>
    <row r="1175" spans="1:7" ht="15" customHeight="1">
      <c r="A1175" s="151" t="s">
        <v>372</v>
      </c>
      <c r="B1175" s="152"/>
      <c r="C1175" s="12" t="s">
        <v>373</v>
      </c>
      <c r="D1175" s="12" t="s">
        <v>374</v>
      </c>
      <c r="E1175" s="12" t="s">
        <v>375</v>
      </c>
      <c r="F1175" s="12" t="s">
        <v>376</v>
      </c>
      <c r="G1175" s="12" t="s">
        <v>377</v>
      </c>
    </row>
    <row r="1176" spans="1:7" ht="15" customHeight="1">
      <c r="A1176" s="13" t="s">
        <v>745</v>
      </c>
      <c r="B1176" s="14" t="s">
        <v>746</v>
      </c>
      <c r="C1176" s="13" t="s">
        <v>380</v>
      </c>
      <c r="D1176" s="13" t="s">
        <v>381</v>
      </c>
      <c r="E1176" s="15">
        <v>0.5</v>
      </c>
      <c r="F1176" s="16">
        <v>7.8402000000000003</v>
      </c>
      <c r="G1176" s="16">
        <v>3.92</v>
      </c>
    </row>
    <row r="1177" spans="1:7" ht="15" customHeight="1">
      <c r="A1177" s="13" t="s">
        <v>747</v>
      </c>
      <c r="B1177" s="14" t="s">
        <v>748</v>
      </c>
      <c r="C1177" s="13" t="s">
        <v>380</v>
      </c>
      <c r="D1177" s="13" t="s">
        <v>381</v>
      </c>
      <c r="E1177" s="15">
        <v>0.5</v>
      </c>
      <c r="F1177" s="16">
        <v>9.6273999999999997</v>
      </c>
      <c r="G1177" s="16">
        <v>4.8099999999999996</v>
      </c>
    </row>
    <row r="1178" spans="1:7" ht="15" customHeight="1">
      <c r="A1178" s="11"/>
      <c r="B1178" s="11"/>
      <c r="C1178" s="11"/>
      <c r="D1178" s="11"/>
      <c r="E1178" s="153" t="s">
        <v>382</v>
      </c>
      <c r="F1178" s="154"/>
      <c r="G1178" s="17">
        <v>8.73</v>
      </c>
    </row>
    <row r="1179" spans="1:7" ht="15" customHeight="1">
      <c r="A1179" s="151" t="s">
        <v>383</v>
      </c>
      <c r="B1179" s="152"/>
      <c r="C1179" s="12" t="s">
        <v>373</v>
      </c>
      <c r="D1179" s="12" t="s">
        <v>374</v>
      </c>
      <c r="E1179" s="12" t="s">
        <v>375</v>
      </c>
      <c r="F1179" s="12" t="s">
        <v>376</v>
      </c>
      <c r="G1179" s="12" t="s">
        <v>377</v>
      </c>
    </row>
    <row r="1180" spans="1:7" ht="20.100000000000001" customHeight="1">
      <c r="A1180" s="13" t="s">
        <v>824</v>
      </c>
      <c r="B1180" s="14" t="s">
        <v>825</v>
      </c>
      <c r="C1180" s="13" t="s">
        <v>380</v>
      </c>
      <c r="D1180" s="13" t="s">
        <v>430</v>
      </c>
      <c r="E1180" s="15">
        <v>1</v>
      </c>
      <c r="F1180" s="16">
        <v>11.09</v>
      </c>
      <c r="G1180" s="16">
        <v>11.09</v>
      </c>
    </row>
    <row r="1181" spans="1:7" ht="15" customHeight="1">
      <c r="A1181" s="11"/>
      <c r="B1181" s="11"/>
      <c r="C1181" s="11"/>
      <c r="D1181" s="11"/>
      <c r="E1181" s="153" t="s">
        <v>396</v>
      </c>
      <c r="F1181" s="154"/>
      <c r="G1181" s="17">
        <v>11.09</v>
      </c>
    </row>
    <row r="1182" spans="1:7" ht="15" customHeight="1">
      <c r="A1182" s="11"/>
      <c r="B1182" s="11"/>
      <c r="C1182" s="11"/>
      <c r="D1182" s="11"/>
      <c r="E1182" s="147" t="s">
        <v>397</v>
      </c>
      <c r="F1182" s="148"/>
      <c r="G1182" s="18">
        <v>19.82</v>
      </c>
    </row>
    <row r="1183" spans="1:7" ht="15" customHeight="1">
      <c r="A1183" s="11"/>
      <c r="B1183" s="11"/>
      <c r="C1183" s="11"/>
      <c r="D1183" s="11"/>
      <c r="E1183" s="147" t="s">
        <v>398</v>
      </c>
      <c r="F1183" s="148"/>
      <c r="G1183" s="18">
        <v>7.45</v>
      </c>
    </row>
    <row r="1184" spans="1:7" ht="15" customHeight="1">
      <c r="A1184" s="11"/>
      <c r="B1184" s="11"/>
      <c r="C1184" s="11"/>
      <c r="D1184" s="11"/>
      <c r="E1184" s="147" t="s">
        <v>399</v>
      </c>
      <c r="F1184" s="148"/>
      <c r="G1184" s="18">
        <v>27.27</v>
      </c>
    </row>
    <row r="1185" spans="1:7" ht="15" customHeight="1">
      <c r="A1185" s="11"/>
      <c r="B1185" s="11"/>
      <c r="C1185" s="11"/>
      <c r="D1185" s="11"/>
      <c r="E1185" s="147" t="s">
        <v>400</v>
      </c>
      <c r="F1185" s="148"/>
      <c r="G1185" s="18">
        <v>6.6212</v>
      </c>
    </row>
    <row r="1186" spans="1:7" ht="15" customHeight="1">
      <c r="A1186" s="11"/>
      <c r="B1186" s="11"/>
      <c r="C1186" s="11"/>
      <c r="D1186" s="11"/>
      <c r="E1186" s="147" t="s">
        <v>401</v>
      </c>
      <c r="F1186" s="148"/>
      <c r="G1186" s="18">
        <v>33.89</v>
      </c>
    </row>
    <row r="1187" spans="1:7" ht="9.9499999999999993" customHeight="1">
      <c r="A1187" s="11"/>
      <c r="B1187" s="11"/>
      <c r="C1187" s="155" t="s">
        <v>370</v>
      </c>
      <c r="D1187" s="156"/>
      <c r="E1187" s="11"/>
      <c r="F1187" s="11"/>
      <c r="G1187" s="11"/>
    </row>
    <row r="1188" spans="1:7" ht="20.100000000000001" customHeight="1">
      <c r="A1188" s="149" t="s">
        <v>826</v>
      </c>
      <c r="B1188" s="150"/>
      <c r="C1188" s="150"/>
      <c r="D1188" s="150"/>
      <c r="E1188" s="150"/>
      <c r="F1188" s="150"/>
      <c r="G1188" s="150"/>
    </row>
    <row r="1189" spans="1:7" ht="15" customHeight="1">
      <c r="A1189" s="151" t="s">
        <v>372</v>
      </c>
      <c r="B1189" s="152"/>
      <c r="C1189" s="12" t="s">
        <v>373</v>
      </c>
      <c r="D1189" s="12" t="s">
        <v>374</v>
      </c>
      <c r="E1189" s="12" t="s">
        <v>375</v>
      </c>
      <c r="F1189" s="12" t="s">
        <v>376</v>
      </c>
      <c r="G1189" s="12" t="s">
        <v>377</v>
      </c>
    </row>
    <row r="1190" spans="1:7" ht="15" customHeight="1">
      <c r="A1190" s="13" t="s">
        <v>745</v>
      </c>
      <c r="B1190" s="14" t="s">
        <v>746</v>
      </c>
      <c r="C1190" s="13" t="s">
        <v>380</v>
      </c>
      <c r="D1190" s="13" t="s">
        <v>381</v>
      </c>
      <c r="E1190" s="15">
        <v>0.46</v>
      </c>
      <c r="F1190" s="16">
        <v>7.8402000000000003</v>
      </c>
      <c r="G1190" s="16">
        <v>3.61</v>
      </c>
    </row>
    <row r="1191" spans="1:7" ht="15" customHeight="1">
      <c r="A1191" s="13" t="s">
        <v>747</v>
      </c>
      <c r="B1191" s="14" t="s">
        <v>748</v>
      </c>
      <c r="C1191" s="13" t="s">
        <v>380</v>
      </c>
      <c r="D1191" s="13" t="s">
        <v>381</v>
      </c>
      <c r="E1191" s="15">
        <v>0.46</v>
      </c>
      <c r="F1191" s="16">
        <v>9.6273999999999997</v>
      </c>
      <c r="G1191" s="16">
        <v>4.43</v>
      </c>
    </row>
    <row r="1192" spans="1:7" ht="15" customHeight="1">
      <c r="A1192" s="11"/>
      <c r="B1192" s="11"/>
      <c r="C1192" s="11"/>
      <c r="D1192" s="11"/>
      <c r="E1192" s="153" t="s">
        <v>382</v>
      </c>
      <c r="F1192" s="154"/>
      <c r="G1192" s="17">
        <v>8.0399999999999991</v>
      </c>
    </row>
    <row r="1193" spans="1:7" ht="15" customHeight="1">
      <c r="A1193" s="151" t="s">
        <v>383</v>
      </c>
      <c r="B1193" s="152"/>
      <c r="C1193" s="12" t="s">
        <v>373</v>
      </c>
      <c r="D1193" s="12" t="s">
        <v>374</v>
      </c>
      <c r="E1193" s="12" t="s">
        <v>375</v>
      </c>
      <c r="F1193" s="12" t="s">
        <v>376</v>
      </c>
      <c r="G1193" s="12" t="s">
        <v>377</v>
      </c>
    </row>
    <row r="1194" spans="1:7" ht="15" customHeight="1">
      <c r="A1194" s="13" t="s">
        <v>789</v>
      </c>
      <c r="B1194" s="14" t="s">
        <v>790</v>
      </c>
      <c r="C1194" s="13" t="s">
        <v>380</v>
      </c>
      <c r="D1194" s="13" t="s">
        <v>395</v>
      </c>
      <c r="E1194" s="15">
        <v>5.7500000000000002E-2</v>
      </c>
      <c r="F1194" s="16">
        <v>43.56</v>
      </c>
      <c r="G1194" s="16">
        <v>2.5</v>
      </c>
    </row>
    <row r="1195" spans="1:7" ht="15" customHeight="1">
      <c r="A1195" s="13" t="s">
        <v>793</v>
      </c>
      <c r="B1195" s="14" t="s">
        <v>794</v>
      </c>
      <c r="C1195" s="13" t="s">
        <v>380</v>
      </c>
      <c r="D1195" s="13" t="s">
        <v>389</v>
      </c>
      <c r="E1195" s="15">
        <v>9.0999999999999998E-2</v>
      </c>
      <c r="F1195" s="16">
        <v>32.159999999999997</v>
      </c>
      <c r="G1195" s="16">
        <v>2.93</v>
      </c>
    </row>
    <row r="1196" spans="1:7" ht="15" customHeight="1">
      <c r="A1196" s="13" t="s">
        <v>827</v>
      </c>
      <c r="B1196" s="14" t="s">
        <v>828</v>
      </c>
      <c r="C1196" s="13" t="s">
        <v>380</v>
      </c>
      <c r="D1196" s="13" t="s">
        <v>430</v>
      </c>
      <c r="E1196" s="15">
        <v>1</v>
      </c>
      <c r="F1196" s="16">
        <v>10.47</v>
      </c>
      <c r="G1196" s="16">
        <v>10.47</v>
      </c>
    </row>
    <row r="1197" spans="1:7" ht="15" customHeight="1">
      <c r="A1197" s="11"/>
      <c r="B1197" s="11"/>
      <c r="C1197" s="11"/>
      <c r="D1197" s="11"/>
      <c r="E1197" s="153" t="s">
        <v>396</v>
      </c>
      <c r="F1197" s="154"/>
      <c r="G1197" s="17">
        <v>15.9</v>
      </c>
    </row>
    <row r="1198" spans="1:7" ht="15" customHeight="1">
      <c r="A1198" s="11"/>
      <c r="B1198" s="11"/>
      <c r="C1198" s="11"/>
      <c r="D1198" s="11"/>
      <c r="E1198" s="147" t="s">
        <v>397</v>
      </c>
      <c r="F1198" s="148"/>
      <c r="G1198" s="18">
        <v>23.94</v>
      </c>
    </row>
    <row r="1199" spans="1:7" ht="15" customHeight="1">
      <c r="A1199" s="11"/>
      <c r="B1199" s="11"/>
      <c r="C1199" s="11"/>
      <c r="D1199" s="11"/>
      <c r="E1199" s="147" t="s">
        <v>398</v>
      </c>
      <c r="F1199" s="148"/>
      <c r="G1199" s="18">
        <v>6.84</v>
      </c>
    </row>
    <row r="1200" spans="1:7" ht="15" customHeight="1">
      <c r="A1200" s="11"/>
      <c r="B1200" s="11"/>
      <c r="C1200" s="11"/>
      <c r="D1200" s="11"/>
      <c r="E1200" s="147" t="s">
        <v>399</v>
      </c>
      <c r="F1200" s="148"/>
      <c r="G1200" s="18">
        <v>30.78</v>
      </c>
    </row>
    <row r="1201" spans="1:7" ht="15" customHeight="1">
      <c r="A1201" s="11"/>
      <c r="B1201" s="11"/>
      <c r="C1201" s="11"/>
      <c r="D1201" s="11"/>
      <c r="E1201" s="147" t="s">
        <v>400</v>
      </c>
      <c r="F1201" s="148"/>
      <c r="G1201" s="18">
        <v>7.4733999999999998</v>
      </c>
    </row>
    <row r="1202" spans="1:7" ht="15" customHeight="1">
      <c r="A1202" s="11"/>
      <c r="B1202" s="11"/>
      <c r="C1202" s="11"/>
      <c r="D1202" s="11"/>
      <c r="E1202" s="147" t="s">
        <v>401</v>
      </c>
      <c r="F1202" s="148"/>
      <c r="G1202" s="18">
        <v>38.25</v>
      </c>
    </row>
    <row r="1203" spans="1:7" ht="9.9499999999999993" customHeight="1">
      <c r="A1203" s="11"/>
      <c r="B1203" s="11"/>
      <c r="C1203" s="155" t="s">
        <v>370</v>
      </c>
      <c r="D1203" s="156"/>
      <c r="E1203" s="11"/>
      <c r="F1203" s="11"/>
      <c r="G1203" s="11"/>
    </row>
    <row r="1204" spans="1:7" ht="20.100000000000001" customHeight="1">
      <c r="A1204" s="149" t="s">
        <v>829</v>
      </c>
      <c r="B1204" s="150"/>
      <c r="C1204" s="150"/>
      <c r="D1204" s="150"/>
      <c r="E1204" s="150"/>
      <c r="F1204" s="150"/>
      <c r="G1204" s="150"/>
    </row>
    <row r="1205" spans="1:7" ht="15" customHeight="1">
      <c r="A1205" s="151" t="s">
        <v>372</v>
      </c>
      <c r="B1205" s="152"/>
      <c r="C1205" s="12" t="s">
        <v>373</v>
      </c>
      <c r="D1205" s="12" t="s">
        <v>374</v>
      </c>
      <c r="E1205" s="12" t="s">
        <v>375</v>
      </c>
      <c r="F1205" s="12" t="s">
        <v>376</v>
      </c>
      <c r="G1205" s="12" t="s">
        <v>377</v>
      </c>
    </row>
    <row r="1206" spans="1:7" ht="15" customHeight="1">
      <c r="A1206" s="13" t="s">
        <v>830</v>
      </c>
      <c r="B1206" s="14" t="s">
        <v>831</v>
      </c>
      <c r="C1206" s="13" t="s">
        <v>482</v>
      </c>
      <c r="D1206" s="13" t="s">
        <v>381</v>
      </c>
      <c r="E1206" s="15">
        <v>0.88700000000000001</v>
      </c>
      <c r="F1206" s="16">
        <v>6.6</v>
      </c>
      <c r="G1206" s="16">
        <v>5.85</v>
      </c>
    </row>
    <row r="1207" spans="1:7" ht="15" customHeight="1">
      <c r="A1207" s="13" t="s">
        <v>832</v>
      </c>
      <c r="B1207" s="14" t="s">
        <v>833</v>
      </c>
      <c r="C1207" s="13" t="s">
        <v>482</v>
      </c>
      <c r="D1207" s="13" t="s">
        <v>381</v>
      </c>
      <c r="E1207" s="15">
        <v>0.433</v>
      </c>
      <c r="F1207" s="16">
        <v>4.9000000000000004</v>
      </c>
      <c r="G1207" s="16">
        <v>2.12</v>
      </c>
    </row>
    <row r="1208" spans="1:7" ht="15" customHeight="1">
      <c r="A1208" s="11"/>
      <c r="B1208" s="11"/>
      <c r="C1208" s="11"/>
      <c r="D1208" s="11"/>
      <c r="E1208" s="153" t="s">
        <v>382</v>
      </c>
      <c r="F1208" s="154"/>
      <c r="G1208" s="17">
        <v>7.97</v>
      </c>
    </row>
    <row r="1209" spans="1:7" ht="15" customHeight="1">
      <c r="A1209" s="151" t="s">
        <v>383</v>
      </c>
      <c r="B1209" s="152"/>
      <c r="C1209" s="12" t="s">
        <v>373</v>
      </c>
      <c r="D1209" s="12" t="s">
        <v>374</v>
      </c>
      <c r="E1209" s="12" t="s">
        <v>375</v>
      </c>
      <c r="F1209" s="12" t="s">
        <v>376</v>
      </c>
      <c r="G1209" s="12" t="s">
        <v>377</v>
      </c>
    </row>
    <row r="1210" spans="1:7" ht="15" customHeight="1">
      <c r="A1210" s="13" t="s">
        <v>834</v>
      </c>
      <c r="B1210" s="14" t="s">
        <v>835</v>
      </c>
      <c r="C1210" s="13" t="s">
        <v>482</v>
      </c>
      <c r="D1210" s="13" t="s">
        <v>430</v>
      </c>
      <c r="E1210" s="15">
        <v>1</v>
      </c>
      <c r="F1210" s="16">
        <v>57.2</v>
      </c>
      <c r="G1210" s="16">
        <v>57.2</v>
      </c>
    </row>
    <row r="1211" spans="1:7" ht="15" customHeight="1">
      <c r="A1211" s="11"/>
      <c r="B1211" s="11"/>
      <c r="C1211" s="11"/>
      <c r="D1211" s="11"/>
      <c r="E1211" s="153" t="s">
        <v>396</v>
      </c>
      <c r="F1211" s="154"/>
      <c r="G1211" s="17">
        <v>57.2</v>
      </c>
    </row>
    <row r="1212" spans="1:7" ht="15" customHeight="1">
      <c r="A1212" s="11"/>
      <c r="B1212" s="11"/>
      <c r="C1212" s="11"/>
      <c r="D1212" s="11"/>
      <c r="E1212" s="147" t="s">
        <v>397</v>
      </c>
      <c r="F1212" s="148"/>
      <c r="G1212" s="18">
        <v>65.17</v>
      </c>
    </row>
    <row r="1213" spans="1:7" ht="15" customHeight="1">
      <c r="A1213" s="11"/>
      <c r="B1213" s="11"/>
      <c r="C1213" s="11"/>
      <c r="D1213" s="11"/>
      <c r="E1213" s="147" t="s">
        <v>492</v>
      </c>
      <c r="F1213" s="148"/>
      <c r="G1213" s="18">
        <v>9.42</v>
      </c>
    </row>
    <row r="1214" spans="1:7" ht="15" customHeight="1">
      <c r="A1214" s="11"/>
      <c r="B1214" s="11"/>
      <c r="C1214" s="11"/>
      <c r="D1214" s="11"/>
      <c r="E1214" s="147" t="s">
        <v>399</v>
      </c>
      <c r="F1214" s="148"/>
      <c r="G1214" s="18">
        <v>74.59</v>
      </c>
    </row>
    <row r="1215" spans="1:7" ht="15" customHeight="1">
      <c r="A1215" s="11"/>
      <c r="B1215" s="11"/>
      <c r="C1215" s="11"/>
      <c r="D1215" s="11"/>
      <c r="E1215" s="147" t="s">
        <v>400</v>
      </c>
      <c r="F1215" s="148"/>
      <c r="G1215" s="18">
        <v>18.110499999999998</v>
      </c>
    </row>
    <row r="1216" spans="1:7" ht="15" customHeight="1">
      <c r="A1216" s="11"/>
      <c r="B1216" s="11"/>
      <c r="C1216" s="11"/>
      <c r="D1216" s="11"/>
      <c r="E1216" s="147" t="s">
        <v>401</v>
      </c>
      <c r="F1216" s="148"/>
      <c r="G1216" s="18">
        <v>92.7</v>
      </c>
    </row>
    <row r="1217" spans="1:7" ht="9.9499999999999993" customHeight="1">
      <c r="A1217" s="11"/>
      <c r="B1217" s="11"/>
      <c r="C1217" s="155" t="s">
        <v>370</v>
      </c>
      <c r="D1217" s="156"/>
      <c r="E1217" s="11"/>
      <c r="F1217" s="11"/>
      <c r="G1217" s="11"/>
    </row>
    <row r="1218" spans="1:7" ht="20.100000000000001" customHeight="1">
      <c r="A1218" s="149" t="s">
        <v>836</v>
      </c>
      <c r="B1218" s="150"/>
      <c r="C1218" s="150"/>
      <c r="D1218" s="150"/>
      <c r="E1218" s="150"/>
      <c r="F1218" s="150"/>
      <c r="G1218" s="150"/>
    </row>
    <row r="1219" spans="1:7" ht="15" customHeight="1">
      <c r="A1219" s="151" t="s">
        <v>383</v>
      </c>
      <c r="B1219" s="152"/>
      <c r="C1219" s="12" t="s">
        <v>373</v>
      </c>
      <c r="D1219" s="12" t="s">
        <v>374</v>
      </c>
      <c r="E1219" s="12" t="s">
        <v>375</v>
      </c>
      <c r="F1219" s="12" t="s">
        <v>376</v>
      </c>
      <c r="G1219" s="12" t="s">
        <v>377</v>
      </c>
    </row>
    <row r="1220" spans="1:7" ht="20.100000000000001" customHeight="1">
      <c r="A1220" s="13" t="s">
        <v>837</v>
      </c>
      <c r="B1220" s="14" t="s">
        <v>838</v>
      </c>
      <c r="C1220" s="13" t="s">
        <v>405</v>
      </c>
      <c r="D1220" s="13" t="s">
        <v>392</v>
      </c>
      <c r="E1220" s="15">
        <v>1.1000000000000001</v>
      </c>
      <c r="F1220" s="16">
        <v>2.3199999999999998</v>
      </c>
      <c r="G1220" s="16">
        <v>2.5499999999999998</v>
      </c>
    </row>
    <row r="1221" spans="1:7" ht="15" customHeight="1">
      <c r="A1221" s="11"/>
      <c r="B1221" s="11"/>
      <c r="C1221" s="11"/>
      <c r="D1221" s="11"/>
      <c r="E1221" s="153" t="s">
        <v>396</v>
      </c>
      <c r="F1221" s="154"/>
      <c r="G1221" s="17">
        <v>2.5499999999999998</v>
      </c>
    </row>
    <row r="1222" spans="1:7" ht="15" customHeight="1">
      <c r="A1222" s="151" t="s">
        <v>414</v>
      </c>
      <c r="B1222" s="152"/>
      <c r="C1222" s="12" t="s">
        <v>373</v>
      </c>
      <c r="D1222" s="12" t="s">
        <v>374</v>
      </c>
      <c r="E1222" s="12" t="s">
        <v>375</v>
      </c>
      <c r="F1222" s="12" t="s">
        <v>376</v>
      </c>
      <c r="G1222" s="12" t="s">
        <v>377</v>
      </c>
    </row>
    <row r="1223" spans="1:7" ht="15" customHeight="1">
      <c r="A1223" s="13" t="s">
        <v>839</v>
      </c>
      <c r="B1223" s="14" t="s">
        <v>840</v>
      </c>
      <c r="C1223" s="13" t="s">
        <v>405</v>
      </c>
      <c r="D1223" s="13" t="s">
        <v>381</v>
      </c>
      <c r="E1223" s="15">
        <v>7.0000000000000007E-2</v>
      </c>
      <c r="F1223" s="16">
        <v>9.7899999999999991</v>
      </c>
      <c r="G1223" s="16">
        <v>0.69</v>
      </c>
    </row>
    <row r="1224" spans="1:7" ht="15" customHeight="1">
      <c r="A1224" s="13" t="s">
        <v>841</v>
      </c>
      <c r="B1224" s="14" t="s">
        <v>842</v>
      </c>
      <c r="C1224" s="13" t="s">
        <v>405</v>
      </c>
      <c r="D1224" s="13" t="s">
        <v>381</v>
      </c>
      <c r="E1224" s="15">
        <v>7.0000000000000007E-2</v>
      </c>
      <c r="F1224" s="16">
        <v>11.82</v>
      </c>
      <c r="G1224" s="16">
        <v>0.83</v>
      </c>
    </row>
    <row r="1225" spans="1:7" ht="36" customHeight="1">
      <c r="A1225" s="13" t="s">
        <v>843</v>
      </c>
      <c r="B1225" s="14" t="s">
        <v>844</v>
      </c>
      <c r="C1225" s="13" t="s">
        <v>405</v>
      </c>
      <c r="D1225" s="13" t="s">
        <v>392</v>
      </c>
      <c r="E1225" s="15">
        <v>1</v>
      </c>
      <c r="F1225" s="16">
        <v>1.35</v>
      </c>
      <c r="G1225" s="16">
        <v>1.35</v>
      </c>
    </row>
    <row r="1226" spans="1:7" ht="15" customHeight="1">
      <c r="A1226" s="11"/>
      <c r="B1226" s="11"/>
      <c r="C1226" s="11"/>
      <c r="D1226" s="11"/>
      <c r="E1226" s="153" t="s">
        <v>431</v>
      </c>
      <c r="F1226" s="154"/>
      <c r="G1226" s="17">
        <v>2.87</v>
      </c>
    </row>
    <row r="1227" spans="1:7" ht="15" customHeight="1">
      <c r="A1227" s="11"/>
      <c r="B1227" s="11"/>
      <c r="C1227" s="11"/>
      <c r="D1227" s="11"/>
      <c r="E1227" s="147" t="s">
        <v>397</v>
      </c>
      <c r="F1227" s="148"/>
      <c r="G1227" s="18">
        <v>5.42</v>
      </c>
    </row>
    <row r="1228" spans="1:7" ht="15" customHeight="1">
      <c r="A1228" s="11"/>
      <c r="B1228" s="11"/>
      <c r="C1228" s="11"/>
      <c r="D1228" s="11"/>
      <c r="E1228" s="147" t="s">
        <v>398</v>
      </c>
      <c r="F1228" s="148"/>
      <c r="G1228" s="18">
        <v>1.08</v>
      </c>
    </row>
    <row r="1229" spans="1:7" ht="15" customHeight="1">
      <c r="A1229" s="11"/>
      <c r="B1229" s="11"/>
      <c r="C1229" s="11"/>
      <c r="D1229" s="11"/>
      <c r="E1229" s="147" t="s">
        <v>399</v>
      </c>
      <c r="F1229" s="148"/>
      <c r="G1229" s="18">
        <v>6.5</v>
      </c>
    </row>
    <row r="1230" spans="1:7" ht="15" customHeight="1">
      <c r="A1230" s="11"/>
      <c r="B1230" s="11"/>
      <c r="C1230" s="11"/>
      <c r="D1230" s="11"/>
      <c r="E1230" s="147" t="s">
        <v>400</v>
      </c>
      <c r="F1230" s="148"/>
      <c r="G1230" s="18">
        <v>1.5782</v>
      </c>
    </row>
    <row r="1231" spans="1:7" ht="15" customHeight="1">
      <c r="A1231" s="11"/>
      <c r="B1231" s="11"/>
      <c r="C1231" s="11"/>
      <c r="D1231" s="11"/>
      <c r="E1231" s="147" t="s">
        <v>401</v>
      </c>
      <c r="F1231" s="148"/>
      <c r="G1231" s="18">
        <v>8.08</v>
      </c>
    </row>
    <row r="1232" spans="1:7" ht="9.9499999999999993" customHeight="1">
      <c r="A1232" s="11"/>
      <c r="B1232" s="11"/>
      <c r="C1232" s="155" t="s">
        <v>370</v>
      </c>
      <c r="D1232" s="156"/>
      <c r="E1232" s="11"/>
      <c r="F1232" s="11"/>
      <c r="G1232" s="11"/>
    </row>
    <row r="1233" spans="1:7" ht="20.100000000000001" customHeight="1">
      <c r="A1233" s="149" t="s">
        <v>845</v>
      </c>
      <c r="B1233" s="150"/>
      <c r="C1233" s="150"/>
      <c r="D1233" s="150"/>
      <c r="E1233" s="150"/>
      <c r="F1233" s="150"/>
      <c r="G1233" s="150"/>
    </row>
    <row r="1234" spans="1:7" ht="15" customHeight="1">
      <c r="A1234" s="151" t="s">
        <v>383</v>
      </c>
      <c r="B1234" s="152"/>
      <c r="C1234" s="12" t="s">
        <v>373</v>
      </c>
      <c r="D1234" s="12" t="s">
        <v>374</v>
      </c>
      <c r="E1234" s="12" t="s">
        <v>375</v>
      </c>
      <c r="F1234" s="12" t="s">
        <v>376</v>
      </c>
      <c r="G1234" s="12" t="s">
        <v>377</v>
      </c>
    </row>
    <row r="1235" spans="1:7" ht="15" customHeight="1">
      <c r="A1235" s="13" t="s">
        <v>846</v>
      </c>
      <c r="B1235" s="14" t="s">
        <v>847</v>
      </c>
      <c r="C1235" s="13" t="s">
        <v>405</v>
      </c>
      <c r="D1235" s="13" t="s">
        <v>392</v>
      </c>
      <c r="E1235" s="15">
        <v>1.0169999999999999</v>
      </c>
      <c r="F1235" s="16">
        <v>2.9</v>
      </c>
      <c r="G1235" s="16">
        <v>2.95</v>
      </c>
    </row>
    <row r="1236" spans="1:7" ht="15" customHeight="1">
      <c r="A1236" s="13" t="s">
        <v>848</v>
      </c>
      <c r="B1236" s="14" t="s">
        <v>849</v>
      </c>
      <c r="C1236" s="13" t="s">
        <v>405</v>
      </c>
      <c r="D1236" s="13" t="s">
        <v>395</v>
      </c>
      <c r="E1236" s="15">
        <v>1.8E-3</v>
      </c>
      <c r="F1236" s="16">
        <v>11.38</v>
      </c>
      <c r="G1236" s="16">
        <v>0.02</v>
      </c>
    </row>
    <row r="1237" spans="1:7" ht="15" customHeight="1">
      <c r="A1237" s="11"/>
      <c r="B1237" s="11"/>
      <c r="C1237" s="11"/>
      <c r="D1237" s="11"/>
      <c r="E1237" s="153" t="s">
        <v>396</v>
      </c>
      <c r="F1237" s="154"/>
      <c r="G1237" s="17">
        <v>2.97</v>
      </c>
    </row>
    <row r="1238" spans="1:7" ht="15" customHeight="1">
      <c r="A1238" s="151" t="s">
        <v>414</v>
      </c>
      <c r="B1238" s="152"/>
      <c r="C1238" s="12" t="s">
        <v>373</v>
      </c>
      <c r="D1238" s="12" t="s">
        <v>374</v>
      </c>
      <c r="E1238" s="12" t="s">
        <v>375</v>
      </c>
      <c r="F1238" s="12" t="s">
        <v>376</v>
      </c>
      <c r="G1238" s="12" t="s">
        <v>377</v>
      </c>
    </row>
    <row r="1239" spans="1:7" ht="15" customHeight="1">
      <c r="A1239" s="13" t="s">
        <v>839</v>
      </c>
      <c r="B1239" s="14" t="s">
        <v>840</v>
      </c>
      <c r="C1239" s="13" t="s">
        <v>405</v>
      </c>
      <c r="D1239" s="13" t="s">
        <v>381</v>
      </c>
      <c r="E1239" s="15">
        <v>0.10199999999999999</v>
      </c>
      <c r="F1239" s="16">
        <v>9.7899999999999991</v>
      </c>
      <c r="G1239" s="16">
        <v>1</v>
      </c>
    </row>
    <row r="1240" spans="1:7" ht="15" customHeight="1">
      <c r="A1240" s="13" t="s">
        <v>841</v>
      </c>
      <c r="B1240" s="14" t="s">
        <v>842</v>
      </c>
      <c r="C1240" s="13" t="s">
        <v>405</v>
      </c>
      <c r="D1240" s="13" t="s">
        <v>381</v>
      </c>
      <c r="E1240" s="15">
        <v>0.10199999999999999</v>
      </c>
      <c r="F1240" s="16">
        <v>11.82</v>
      </c>
      <c r="G1240" s="16">
        <v>1.21</v>
      </c>
    </row>
    <row r="1241" spans="1:7" ht="15" customHeight="1">
      <c r="A1241" s="11"/>
      <c r="B1241" s="11"/>
      <c r="C1241" s="11"/>
      <c r="D1241" s="11"/>
      <c r="E1241" s="153" t="s">
        <v>431</v>
      </c>
      <c r="F1241" s="154"/>
      <c r="G1241" s="17">
        <v>2.21</v>
      </c>
    </row>
    <row r="1242" spans="1:7" ht="15" customHeight="1">
      <c r="A1242" s="11"/>
      <c r="B1242" s="11"/>
      <c r="C1242" s="11"/>
      <c r="D1242" s="11"/>
      <c r="E1242" s="147" t="s">
        <v>397</v>
      </c>
      <c r="F1242" s="148"/>
      <c r="G1242" s="18">
        <v>5.18</v>
      </c>
    </row>
    <row r="1243" spans="1:7" ht="15" customHeight="1">
      <c r="A1243" s="11"/>
      <c r="B1243" s="11"/>
      <c r="C1243" s="11"/>
      <c r="D1243" s="11"/>
      <c r="E1243" s="147" t="s">
        <v>398</v>
      </c>
      <c r="F1243" s="148"/>
      <c r="G1243" s="18">
        <v>0.96</v>
      </c>
    </row>
    <row r="1244" spans="1:7" ht="15" customHeight="1">
      <c r="A1244" s="11"/>
      <c r="B1244" s="11"/>
      <c r="C1244" s="11"/>
      <c r="D1244" s="11"/>
      <c r="E1244" s="147" t="s">
        <v>399</v>
      </c>
      <c r="F1244" s="148"/>
      <c r="G1244" s="18">
        <v>6.14</v>
      </c>
    </row>
    <row r="1245" spans="1:7" ht="15" customHeight="1">
      <c r="A1245" s="11"/>
      <c r="B1245" s="11"/>
      <c r="C1245" s="11"/>
      <c r="D1245" s="11"/>
      <c r="E1245" s="147" t="s">
        <v>400</v>
      </c>
      <c r="F1245" s="148"/>
      <c r="G1245" s="18">
        <v>1.4907999999999999</v>
      </c>
    </row>
    <row r="1246" spans="1:7" ht="15" customHeight="1">
      <c r="A1246" s="11"/>
      <c r="B1246" s="11"/>
      <c r="C1246" s="11"/>
      <c r="D1246" s="11"/>
      <c r="E1246" s="147" t="s">
        <v>401</v>
      </c>
      <c r="F1246" s="148"/>
      <c r="G1246" s="18">
        <v>7.63</v>
      </c>
    </row>
    <row r="1247" spans="1:7" ht="9.9499999999999993" customHeight="1">
      <c r="A1247" s="11"/>
      <c r="B1247" s="11"/>
      <c r="C1247" s="155" t="s">
        <v>370</v>
      </c>
      <c r="D1247" s="156"/>
      <c r="E1247" s="11"/>
      <c r="F1247" s="11"/>
      <c r="G1247" s="11"/>
    </row>
    <row r="1248" spans="1:7" ht="20.100000000000001" customHeight="1">
      <c r="A1248" s="149" t="s">
        <v>850</v>
      </c>
      <c r="B1248" s="150"/>
      <c r="C1248" s="150"/>
      <c r="D1248" s="150"/>
      <c r="E1248" s="150"/>
      <c r="F1248" s="150"/>
      <c r="G1248" s="150"/>
    </row>
    <row r="1249" spans="1:7" ht="15" customHeight="1">
      <c r="A1249" s="151" t="s">
        <v>383</v>
      </c>
      <c r="B1249" s="152"/>
      <c r="C1249" s="12" t="s">
        <v>373</v>
      </c>
      <c r="D1249" s="12" t="s">
        <v>374</v>
      </c>
      <c r="E1249" s="12" t="s">
        <v>375</v>
      </c>
      <c r="F1249" s="12" t="s">
        <v>376</v>
      </c>
      <c r="G1249" s="12" t="s">
        <v>377</v>
      </c>
    </row>
    <row r="1250" spans="1:7" ht="15" customHeight="1">
      <c r="A1250" s="13" t="s">
        <v>851</v>
      </c>
      <c r="B1250" s="14" t="s">
        <v>852</v>
      </c>
      <c r="C1250" s="13" t="s">
        <v>405</v>
      </c>
      <c r="D1250" s="13" t="s">
        <v>392</v>
      </c>
      <c r="E1250" s="15">
        <v>1.0169999999999999</v>
      </c>
      <c r="F1250" s="16">
        <v>6.03</v>
      </c>
      <c r="G1250" s="16">
        <v>6.13</v>
      </c>
    </row>
    <row r="1251" spans="1:7" ht="15" customHeight="1">
      <c r="A1251" s="11"/>
      <c r="B1251" s="11"/>
      <c r="C1251" s="11"/>
      <c r="D1251" s="11"/>
      <c r="E1251" s="153" t="s">
        <v>396</v>
      </c>
      <c r="F1251" s="154"/>
      <c r="G1251" s="17">
        <v>6.13</v>
      </c>
    </row>
    <row r="1252" spans="1:7" ht="15" customHeight="1">
      <c r="A1252" s="151" t="s">
        <v>414</v>
      </c>
      <c r="B1252" s="152"/>
      <c r="C1252" s="12" t="s">
        <v>373</v>
      </c>
      <c r="D1252" s="12" t="s">
        <v>374</v>
      </c>
      <c r="E1252" s="12" t="s">
        <v>375</v>
      </c>
      <c r="F1252" s="12" t="s">
        <v>376</v>
      </c>
      <c r="G1252" s="12" t="s">
        <v>377</v>
      </c>
    </row>
    <row r="1253" spans="1:7" ht="15" customHeight="1">
      <c r="A1253" s="13" t="s">
        <v>839</v>
      </c>
      <c r="B1253" s="14" t="s">
        <v>840</v>
      </c>
      <c r="C1253" s="13" t="s">
        <v>405</v>
      </c>
      <c r="D1253" s="13" t="s">
        <v>381</v>
      </c>
      <c r="E1253" s="15">
        <v>0.13400000000000001</v>
      </c>
      <c r="F1253" s="16">
        <v>9.7899999999999991</v>
      </c>
      <c r="G1253" s="16">
        <v>1.31</v>
      </c>
    </row>
    <row r="1254" spans="1:7" ht="15" customHeight="1">
      <c r="A1254" s="13" t="s">
        <v>841</v>
      </c>
      <c r="B1254" s="14" t="s">
        <v>842</v>
      </c>
      <c r="C1254" s="13" t="s">
        <v>405</v>
      </c>
      <c r="D1254" s="13" t="s">
        <v>381</v>
      </c>
      <c r="E1254" s="15">
        <v>0.13400000000000001</v>
      </c>
      <c r="F1254" s="16">
        <v>11.82</v>
      </c>
      <c r="G1254" s="16">
        <v>1.58</v>
      </c>
    </row>
    <row r="1255" spans="1:7" ht="36" customHeight="1">
      <c r="A1255" s="13" t="s">
        <v>843</v>
      </c>
      <c r="B1255" s="14" t="s">
        <v>844</v>
      </c>
      <c r="C1255" s="13" t="s">
        <v>405</v>
      </c>
      <c r="D1255" s="13" t="s">
        <v>392</v>
      </c>
      <c r="E1255" s="15">
        <v>1</v>
      </c>
      <c r="F1255" s="16">
        <v>1.35</v>
      </c>
      <c r="G1255" s="16">
        <v>1.35</v>
      </c>
    </row>
    <row r="1256" spans="1:7" ht="15" customHeight="1">
      <c r="A1256" s="11"/>
      <c r="B1256" s="11"/>
      <c r="C1256" s="11"/>
      <c r="D1256" s="11"/>
      <c r="E1256" s="153" t="s">
        <v>431</v>
      </c>
      <c r="F1256" s="154"/>
      <c r="G1256" s="17">
        <v>4.24</v>
      </c>
    </row>
    <row r="1257" spans="1:7" ht="15" customHeight="1">
      <c r="A1257" s="11"/>
      <c r="B1257" s="11"/>
      <c r="C1257" s="11"/>
      <c r="D1257" s="11"/>
      <c r="E1257" s="147" t="s">
        <v>397</v>
      </c>
      <c r="F1257" s="148"/>
      <c r="G1257" s="18">
        <v>10.37</v>
      </c>
    </row>
    <row r="1258" spans="1:7" ht="15" customHeight="1">
      <c r="A1258" s="11"/>
      <c r="B1258" s="11"/>
      <c r="C1258" s="11"/>
      <c r="D1258" s="11"/>
      <c r="E1258" s="147" t="s">
        <v>398</v>
      </c>
      <c r="F1258" s="148"/>
      <c r="G1258" s="18">
        <v>1.71</v>
      </c>
    </row>
    <row r="1259" spans="1:7" ht="15" customHeight="1">
      <c r="A1259" s="11"/>
      <c r="B1259" s="11"/>
      <c r="C1259" s="11"/>
      <c r="D1259" s="11"/>
      <c r="E1259" s="147" t="s">
        <v>399</v>
      </c>
      <c r="F1259" s="148"/>
      <c r="G1259" s="18">
        <v>12.08</v>
      </c>
    </row>
    <row r="1260" spans="1:7" ht="15" customHeight="1">
      <c r="A1260" s="11"/>
      <c r="B1260" s="11"/>
      <c r="C1260" s="11"/>
      <c r="D1260" s="11"/>
      <c r="E1260" s="147" t="s">
        <v>400</v>
      </c>
      <c r="F1260" s="148"/>
      <c r="G1260" s="18">
        <v>2.9329999999999998</v>
      </c>
    </row>
    <row r="1261" spans="1:7" ht="15" customHeight="1">
      <c r="A1261" s="11"/>
      <c r="B1261" s="11"/>
      <c r="C1261" s="11"/>
      <c r="D1261" s="11"/>
      <c r="E1261" s="147" t="s">
        <v>401</v>
      </c>
      <c r="F1261" s="148"/>
      <c r="G1261" s="18">
        <v>15.01</v>
      </c>
    </row>
    <row r="1262" spans="1:7" ht="9.9499999999999993" customHeight="1">
      <c r="A1262" s="11"/>
      <c r="B1262" s="11"/>
      <c r="C1262" s="155" t="s">
        <v>370</v>
      </c>
      <c r="D1262" s="156"/>
      <c r="E1262" s="11"/>
      <c r="F1262" s="11"/>
      <c r="G1262" s="11"/>
    </row>
    <row r="1263" spans="1:7" ht="20.100000000000001" customHeight="1">
      <c r="A1263" s="149" t="s">
        <v>853</v>
      </c>
      <c r="B1263" s="150"/>
      <c r="C1263" s="150"/>
      <c r="D1263" s="150"/>
      <c r="E1263" s="150"/>
      <c r="F1263" s="150"/>
      <c r="G1263" s="150"/>
    </row>
    <row r="1264" spans="1:7" ht="15" customHeight="1">
      <c r="A1264" s="151" t="s">
        <v>372</v>
      </c>
      <c r="B1264" s="152"/>
      <c r="C1264" s="12" t="s">
        <v>373</v>
      </c>
      <c r="D1264" s="12" t="s">
        <v>374</v>
      </c>
      <c r="E1264" s="12" t="s">
        <v>375</v>
      </c>
      <c r="F1264" s="12" t="s">
        <v>376</v>
      </c>
      <c r="G1264" s="12" t="s">
        <v>377</v>
      </c>
    </row>
    <row r="1265" spans="1:7" ht="15" customHeight="1">
      <c r="A1265" s="13" t="s">
        <v>854</v>
      </c>
      <c r="B1265" s="14" t="s">
        <v>833</v>
      </c>
      <c r="C1265" s="13" t="s">
        <v>380</v>
      </c>
      <c r="D1265" s="13" t="s">
        <v>381</v>
      </c>
      <c r="E1265" s="15">
        <v>0.1</v>
      </c>
      <c r="F1265" s="16">
        <v>7.8402000000000003</v>
      </c>
      <c r="G1265" s="16">
        <v>0.78</v>
      </c>
    </row>
    <row r="1266" spans="1:7" ht="15" customHeight="1">
      <c r="A1266" s="13" t="s">
        <v>855</v>
      </c>
      <c r="B1266" s="14" t="s">
        <v>831</v>
      </c>
      <c r="C1266" s="13" t="s">
        <v>380</v>
      </c>
      <c r="D1266" s="13" t="s">
        <v>381</v>
      </c>
      <c r="E1266" s="15">
        <v>0.1</v>
      </c>
      <c r="F1266" s="16">
        <v>9.7569999999999997</v>
      </c>
      <c r="G1266" s="16">
        <v>0.98</v>
      </c>
    </row>
    <row r="1267" spans="1:7" ht="15" customHeight="1">
      <c r="A1267" s="11"/>
      <c r="B1267" s="11"/>
      <c r="C1267" s="11"/>
      <c r="D1267" s="11"/>
      <c r="E1267" s="153" t="s">
        <v>382</v>
      </c>
      <c r="F1267" s="154"/>
      <c r="G1267" s="17">
        <v>1.76</v>
      </c>
    </row>
    <row r="1268" spans="1:7" ht="15" customHeight="1">
      <c r="A1268" s="151" t="s">
        <v>383</v>
      </c>
      <c r="B1268" s="152"/>
      <c r="C1268" s="12" t="s">
        <v>373</v>
      </c>
      <c r="D1268" s="12" t="s">
        <v>374</v>
      </c>
      <c r="E1268" s="12" t="s">
        <v>375</v>
      </c>
      <c r="F1268" s="12" t="s">
        <v>376</v>
      </c>
      <c r="G1268" s="12" t="s">
        <v>377</v>
      </c>
    </row>
    <row r="1269" spans="1:7" ht="15" customHeight="1">
      <c r="A1269" s="13" t="s">
        <v>856</v>
      </c>
      <c r="B1269" s="14" t="s">
        <v>857</v>
      </c>
      <c r="C1269" s="13" t="s">
        <v>380</v>
      </c>
      <c r="D1269" s="13" t="s">
        <v>430</v>
      </c>
      <c r="E1269" s="15">
        <v>1</v>
      </c>
      <c r="F1269" s="16">
        <v>1.83</v>
      </c>
      <c r="G1269" s="16">
        <v>1.83</v>
      </c>
    </row>
    <row r="1270" spans="1:7" ht="15" customHeight="1">
      <c r="A1270" s="11"/>
      <c r="B1270" s="11"/>
      <c r="C1270" s="11"/>
      <c r="D1270" s="11"/>
      <c r="E1270" s="153" t="s">
        <v>396</v>
      </c>
      <c r="F1270" s="154"/>
      <c r="G1270" s="17">
        <v>1.83</v>
      </c>
    </row>
    <row r="1271" spans="1:7" ht="15" customHeight="1">
      <c r="A1271" s="11"/>
      <c r="B1271" s="11"/>
      <c r="C1271" s="11"/>
      <c r="D1271" s="11"/>
      <c r="E1271" s="147" t="s">
        <v>397</v>
      </c>
      <c r="F1271" s="148"/>
      <c r="G1271" s="18">
        <v>3.59</v>
      </c>
    </row>
    <row r="1272" spans="1:7" ht="15" customHeight="1">
      <c r="A1272" s="11"/>
      <c r="B1272" s="11"/>
      <c r="C1272" s="11"/>
      <c r="D1272" s="11"/>
      <c r="E1272" s="147" t="s">
        <v>398</v>
      </c>
      <c r="F1272" s="148"/>
      <c r="G1272" s="18">
        <v>1.5</v>
      </c>
    </row>
    <row r="1273" spans="1:7" ht="15" customHeight="1">
      <c r="A1273" s="11"/>
      <c r="B1273" s="11"/>
      <c r="C1273" s="11"/>
      <c r="D1273" s="11"/>
      <c r="E1273" s="147" t="s">
        <v>399</v>
      </c>
      <c r="F1273" s="148"/>
      <c r="G1273" s="18">
        <v>5.09</v>
      </c>
    </row>
    <row r="1274" spans="1:7" ht="15" customHeight="1">
      <c r="A1274" s="11"/>
      <c r="B1274" s="11"/>
      <c r="C1274" s="11"/>
      <c r="D1274" s="11"/>
      <c r="E1274" s="147" t="s">
        <v>400</v>
      </c>
      <c r="F1274" s="148"/>
      <c r="G1274" s="18">
        <v>1.2359</v>
      </c>
    </row>
    <row r="1275" spans="1:7" ht="15" customHeight="1">
      <c r="A1275" s="11"/>
      <c r="B1275" s="11"/>
      <c r="C1275" s="11"/>
      <c r="D1275" s="11"/>
      <c r="E1275" s="147" t="s">
        <v>401</v>
      </c>
      <c r="F1275" s="148"/>
      <c r="G1275" s="18">
        <v>6.33</v>
      </c>
    </row>
    <row r="1276" spans="1:7" ht="9.9499999999999993" customHeight="1">
      <c r="A1276" s="11"/>
      <c r="B1276" s="11"/>
      <c r="C1276" s="155" t="s">
        <v>370</v>
      </c>
      <c r="D1276" s="156"/>
      <c r="E1276" s="11"/>
      <c r="F1276" s="11"/>
      <c r="G1276" s="11"/>
    </row>
    <row r="1277" spans="1:7" ht="20.100000000000001" customHeight="1">
      <c r="A1277" s="149" t="s">
        <v>858</v>
      </c>
      <c r="B1277" s="150"/>
      <c r="C1277" s="150"/>
      <c r="D1277" s="150"/>
      <c r="E1277" s="150"/>
      <c r="F1277" s="150"/>
      <c r="G1277" s="150"/>
    </row>
    <row r="1278" spans="1:7" ht="15" customHeight="1">
      <c r="A1278" s="151" t="s">
        <v>372</v>
      </c>
      <c r="B1278" s="152"/>
      <c r="C1278" s="12" t="s">
        <v>373</v>
      </c>
      <c r="D1278" s="12" t="s">
        <v>374</v>
      </c>
      <c r="E1278" s="12" t="s">
        <v>375</v>
      </c>
      <c r="F1278" s="12" t="s">
        <v>376</v>
      </c>
      <c r="G1278" s="12" t="s">
        <v>377</v>
      </c>
    </row>
    <row r="1279" spans="1:7" ht="15" customHeight="1">
      <c r="A1279" s="13" t="s">
        <v>854</v>
      </c>
      <c r="B1279" s="14" t="s">
        <v>833</v>
      </c>
      <c r="C1279" s="13" t="s">
        <v>380</v>
      </c>
      <c r="D1279" s="13" t="s">
        <v>381</v>
      </c>
      <c r="E1279" s="15">
        <v>4</v>
      </c>
      <c r="F1279" s="16">
        <v>7.8402000000000003</v>
      </c>
      <c r="G1279" s="16">
        <v>31.36</v>
      </c>
    </row>
    <row r="1280" spans="1:7" ht="15" customHeight="1">
      <c r="A1280" s="13" t="s">
        <v>859</v>
      </c>
      <c r="B1280" s="14" t="s">
        <v>860</v>
      </c>
      <c r="C1280" s="13" t="s">
        <v>380</v>
      </c>
      <c r="D1280" s="13" t="s">
        <v>381</v>
      </c>
      <c r="E1280" s="15">
        <v>4</v>
      </c>
      <c r="F1280" s="16">
        <v>13.6663</v>
      </c>
      <c r="G1280" s="16">
        <v>54.67</v>
      </c>
    </row>
    <row r="1281" spans="1:7" ht="15" customHeight="1">
      <c r="A1281" s="13" t="s">
        <v>855</v>
      </c>
      <c r="B1281" s="14" t="s">
        <v>831</v>
      </c>
      <c r="C1281" s="13" t="s">
        <v>380</v>
      </c>
      <c r="D1281" s="13" t="s">
        <v>381</v>
      </c>
      <c r="E1281" s="15">
        <v>4</v>
      </c>
      <c r="F1281" s="16">
        <v>9.7569999999999997</v>
      </c>
      <c r="G1281" s="16">
        <v>39.03</v>
      </c>
    </row>
    <row r="1282" spans="1:7" ht="15" customHeight="1">
      <c r="A1282" s="11"/>
      <c r="B1282" s="11"/>
      <c r="C1282" s="11"/>
      <c r="D1282" s="11"/>
      <c r="E1282" s="153" t="s">
        <v>382</v>
      </c>
      <c r="F1282" s="154"/>
      <c r="G1282" s="17">
        <v>125.06</v>
      </c>
    </row>
    <row r="1283" spans="1:7" ht="15" customHeight="1">
      <c r="A1283" s="151" t="s">
        <v>383</v>
      </c>
      <c r="B1283" s="152"/>
      <c r="C1283" s="12" t="s">
        <v>373</v>
      </c>
      <c r="D1283" s="12" t="s">
        <v>374</v>
      </c>
      <c r="E1283" s="12" t="s">
        <v>375</v>
      </c>
      <c r="F1283" s="12" t="s">
        <v>376</v>
      </c>
      <c r="G1283" s="12" t="s">
        <v>377</v>
      </c>
    </row>
    <row r="1284" spans="1:7" ht="15" customHeight="1">
      <c r="A1284" s="13" t="s">
        <v>861</v>
      </c>
      <c r="B1284" s="14" t="s">
        <v>862</v>
      </c>
      <c r="C1284" s="13" t="s">
        <v>380</v>
      </c>
      <c r="D1284" s="13" t="s">
        <v>430</v>
      </c>
      <c r="E1284" s="15">
        <v>1</v>
      </c>
      <c r="F1284" s="16">
        <v>119.11</v>
      </c>
      <c r="G1284" s="16">
        <v>119.11</v>
      </c>
    </row>
    <row r="1285" spans="1:7" ht="15" customHeight="1">
      <c r="A1285" s="13" t="s">
        <v>863</v>
      </c>
      <c r="B1285" s="14" t="s">
        <v>864</v>
      </c>
      <c r="C1285" s="13" t="s">
        <v>380</v>
      </c>
      <c r="D1285" s="13" t="s">
        <v>430</v>
      </c>
      <c r="E1285" s="15">
        <v>1</v>
      </c>
      <c r="F1285" s="16">
        <v>21.21</v>
      </c>
      <c r="G1285" s="16">
        <v>21.21</v>
      </c>
    </row>
    <row r="1286" spans="1:7" ht="15" customHeight="1">
      <c r="A1286" s="13" t="s">
        <v>865</v>
      </c>
      <c r="B1286" s="14" t="s">
        <v>866</v>
      </c>
      <c r="C1286" s="13" t="s">
        <v>380</v>
      </c>
      <c r="D1286" s="13" t="s">
        <v>430</v>
      </c>
      <c r="E1286" s="15">
        <v>2</v>
      </c>
      <c r="F1286" s="16">
        <v>63.1</v>
      </c>
      <c r="G1286" s="16">
        <v>126.2</v>
      </c>
    </row>
    <row r="1287" spans="1:7" ht="15" customHeight="1">
      <c r="A1287" s="13" t="s">
        <v>867</v>
      </c>
      <c r="B1287" s="14" t="s">
        <v>868</v>
      </c>
      <c r="C1287" s="13" t="s">
        <v>380</v>
      </c>
      <c r="D1287" s="13" t="s">
        <v>430</v>
      </c>
      <c r="E1287" s="15">
        <v>1</v>
      </c>
      <c r="F1287" s="16">
        <v>1.9</v>
      </c>
      <c r="G1287" s="16">
        <v>1.9</v>
      </c>
    </row>
    <row r="1288" spans="1:7" ht="15" customHeight="1">
      <c r="A1288" s="13" t="s">
        <v>869</v>
      </c>
      <c r="B1288" s="14" t="s">
        <v>870</v>
      </c>
      <c r="C1288" s="13" t="s">
        <v>380</v>
      </c>
      <c r="D1288" s="13" t="s">
        <v>430</v>
      </c>
      <c r="E1288" s="15">
        <v>3</v>
      </c>
      <c r="F1288" s="16">
        <v>8.01</v>
      </c>
      <c r="G1288" s="16">
        <v>24.03</v>
      </c>
    </row>
    <row r="1289" spans="1:7" ht="15" customHeight="1">
      <c r="A1289" s="13" t="s">
        <v>871</v>
      </c>
      <c r="B1289" s="14" t="s">
        <v>872</v>
      </c>
      <c r="C1289" s="13" t="s">
        <v>380</v>
      </c>
      <c r="D1289" s="13" t="s">
        <v>430</v>
      </c>
      <c r="E1289" s="15">
        <v>1</v>
      </c>
      <c r="F1289" s="16">
        <v>953.67</v>
      </c>
      <c r="G1289" s="16">
        <v>953.67</v>
      </c>
    </row>
    <row r="1290" spans="1:7" ht="15" customHeight="1">
      <c r="A1290" s="13" t="s">
        <v>873</v>
      </c>
      <c r="B1290" s="14" t="s">
        <v>874</v>
      </c>
      <c r="C1290" s="13" t="s">
        <v>380</v>
      </c>
      <c r="D1290" s="13" t="s">
        <v>430</v>
      </c>
      <c r="E1290" s="15">
        <v>3</v>
      </c>
      <c r="F1290" s="16">
        <v>104.87</v>
      </c>
      <c r="G1290" s="16">
        <v>314.61</v>
      </c>
    </row>
    <row r="1291" spans="1:7" ht="15" customHeight="1">
      <c r="A1291" s="13" t="s">
        <v>875</v>
      </c>
      <c r="B1291" s="14" t="s">
        <v>876</v>
      </c>
      <c r="C1291" s="13" t="s">
        <v>380</v>
      </c>
      <c r="D1291" s="13" t="s">
        <v>430</v>
      </c>
      <c r="E1291" s="15">
        <v>1</v>
      </c>
      <c r="F1291" s="16">
        <v>155.38999999999999</v>
      </c>
      <c r="G1291" s="16">
        <v>155.38999999999999</v>
      </c>
    </row>
    <row r="1292" spans="1:7" ht="15" customHeight="1">
      <c r="A1292" s="11"/>
      <c r="B1292" s="11"/>
      <c r="C1292" s="11"/>
      <c r="D1292" s="11"/>
      <c r="E1292" s="153" t="s">
        <v>396</v>
      </c>
      <c r="F1292" s="154"/>
      <c r="G1292" s="17">
        <v>1716.12</v>
      </c>
    </row>
    <row r="1293" spans="1:7" ht="15" customHeight="1">
      <c r="A1293" s="11"/>
      <c r="B1293" s="11"/>
      <c r="C1293" s="11"/>
      <c r="D1293" s="11"/>
      <c r="E1293" s="147" t="s">
        <v>397</v>
      </c>
      <c r="F1293" s="148"/>
      <c r="G1293" s="18">
        <v>1841.18</v>
      </c>
    </row>
    <row r="1294" spans="1:7" ht="15" customHeight="1">
      <c r="A1294" s="11"/>
      <c r="B1294" s="11"/>
      <c r="C1294" s="11"/>
      <c r="D1294" s="11"/>
      <c r="E1294" s="147" t="s">
        <v>398</v>
      </c>
      <c r="F1294" s="148"/>
      <c r="G1294" s="18">
        <v>106.53</v>
      </c>
    </row>
    <row r="1295" spans="1:7" ht="15" customHeight="1">
      <c r="A1295" s="11"/>
      <c r="B1295" s="11"/>
      <c r="C1295" s="11"/>
      <c r="D1295" s="11"/>
      <c r="E1295" s="147" t="s">
        <v>399</v>
      </c>
      <c r="F1295" s="148"/>
      <c r="G1295" s="18">
        <v>1947.71</v>
      </c>
    </row>
    <row r="1296" spans="1:7" ht="15" customHeight="1">
      <c r="A1296" s="11"/>
      <c r="B1296" s="11"/>
      <c r="C1296" s="11"/>
      <c r="D1296" s="11"/>
      <c r="E1296" s="147" t="s">
        <v>400</v>
      </c>
      <c r="F1296" s="148"/>
      <c r="G1296" s="18">
        <v>472.904</v>
      </c>
    </row>
    <row r="1297" spans="1:7" ht="15" customHeight="1">
      <c r="A1297" s="11"/>
      <c r="B1297" s="11"/>
      <c r="C1297" s="11"/>
      <c r="D1297" s="11"/>
      <c r="E1297" s="147" t="s">
        <v>401</v>
      </c>
      <c r="F1297" s="148"/>
      <c r="G1297" s="18">
        <v>2420.61</v>
      </c>
    </row>
    <row r="1298" spans="1:7" ht="9.9499999999999993" customHeight="1">
      <c r="A1298" s="11"/>
      <c r="B1298" s="11"/>
      <c r="C1298" s="155" t="s">
        <v>370</v>
      </c>
      <c r="D1298" s="156"/>
      <c r="E1298" s="11"/>
      <c r="F1298" s="11"/>
      <c r="G1298" s="11"/>
    </row>
    <row r="1299" spans="1:7" ht="20.100000000000001" customHeight="1">
      <c r="A1299" s="149" t="s">
        <v>877</v>
      </c>
      <c r="B1299" s="150"/>
      <c r="C1299" s="150"/>
      <c r="D1299" s="150"/>
      <c r="E1299" s="150"/>
      <c r="F1299" s="150"/>
      <c r="G1299" s="150"/>
    </row>
    <row r="1300" spans="1:7" ht="15" customHeight="1">
      <c r="A1300" s="151" t="s">
        <v>383</v>
      </c>
      <c r="B1300" s="152"/>
      <c r="C1300" s="12" t="s">
        <v>373</v>
      </c>
      <c r="D1300" s="12" t="s">
        <v>374</v>
      </c>
      <c r="E1300" s="12" t="s">
        <v>375</v>
      </c>
      <c r="F1300" s="12" t="s">
        <v>376</v>
      </c>
      <c r="G1300" s="12" t="s">
        <v>377</v>
      </c>
    </row>
    <row r="1301" spans="1:7" ht="20.100000000000001" customHeight="1">
      <c r="A1301" s="13" t="s">
        <v>878</v>
      </c>
      <c r="B1301" s="14" t="s">
        <v>879</v>
      </c>
      <c r="C1301" s="13" t="s">
        <v>405</v>
      </c>
      <c r="D1301" s="13" t="s">
        <v>430</v>
      </c>
      <c r="E1301" s="15">
        <v>1</v>
      </c>
      <c r="F1301" s="16">
        <v>9.25</v>
      </c>
      <c r="G1301" s="16">
        <v>9.25</v>
      </c>
    </row>
    <row r="1302" spans="1:7" ht="15" customHeight="1">
      <c r="A1302" s="11"/>
      <c r="B1302" s="11"/>
      <c r="C1302" s="11"/>
      <c r="D1302" s="11"/>
      <c r="E1302" s="153" t="s">
        <v>396</v>
      </c>
      <c r="F1302" s="154"/>
      <c r="G1302" s="17">
        <v>9.25</v>
      </c>
    </row>
    <row r="1303" spans="1:7" ht="15" customHeight="1">
      <c r="A1303" s="151" t="s">
        <v>414</v>
      </c>
      <c r="B1303" s="152"/>
      <c r="C1303" s="12" t="s">
        <v>373</v>
      </c>
      <c r="D1303" s="12" t="s">
        <v>374</v>
      </c>
      <c r="E1303" s="12" t="s">
        <v>375</v>
      </c>
      <c r="F1303" s="12" t="s">
        <v>376</v>
      </c>
      <c r="G1303" s="12" t="s">
        <v>377</v>
      </c>
    </row>
    <row r="1304" spans="1:7" ht="15" customHeight="1">
      <c r="A1304" s="13" t="s">
        <v>841</v>
      </c>
      <c r="B1304" s="14" t="s">
        <v>842</v>
      </c>
      <c r="C1304" s="13" t="s">
        <v>405</v>
      </c>
      <c r="D1304" s="13" t="s">
        <v>381</v>
      </c>
      <c r="E1304" s="15">
        <v>0.125</v>
      </c>
      <c r="F1304" s="16">
        <v>11.82</v>
      </c>
      <c r="G1304" s="16">
        <v>1.48</v>
      </c>
    </row>
    <row r="1305" spans="1:7" ht="15" customHeight="1">
      <c r="A1305" s="11"/>
      <c r="B1305" s="11"/>
      <c r="C1305" s="11"/>
      <c r="D1305" s="11"/>
      <c r="E1305" s="153" t="s">
        <v>431</v>
      </c>
      <c r="F1305" s="154"/>
      <c r="G1305" s="17">
        <v>1.48</v>
      </c>
    </row>
    <row r="1306" spans="1:7" ht="15" customHeight="1">
      <c r="A1306" s="11"/>
      <c r="B1306" s="11"/>
      <c r="C1306" s="11"/>
      <c r="D1306" s="11"/>
      <c r="E1306" s="147" t="s">
        <v>397</v>
      </c>
      <c r="F1306" s="148"/>
      <c r="G1306" s="18">
        <v>10.73</v>
      </c>
    </row>
    <row r="1307" spans="1:7" ht="15" customHeight="1">
      <c r="A1307" s="11"/>
      <c r="B1307" s="11"/>
      <c r="C1307" s="11"/>
      <c r="D1307" s="11"/>
      <c r="E1307" s="147" t="s">
        <v>398</v>
      </c>
      <c r="F1307" s="148"/>
      <c r="G1307" s="18">
        <v>0.71</v>
      </c>
    </row>
    <row r="1308" spans="1:7" ht="15" customHeight="1">
      <c r="A1308" s="11"/>
      <c r="B1308" s="11"/>
      <c r="C1308" s="11"/>
      <c r="D1308" s="11"/>
      <c r="E1308" s="147" t="s">
        <v>399</v>
      </c>
      <c r="F1308" s="148"/>
      <c r="G1308" s="18">
        <v>11.44</v>
      </c>
    </row>
    <row r="1309" spans="1:7" ht="15" customHeight="1">
      <c r="A1309" s="11"/>
      <c r="B1309" s="11"/>
      <c r="C1309" s="11"/>
      <c r="D1309" s="11"/>
      <c r="E1309" s="147" t="s">
        <v>400</v>
      </c>
      <c r="F1309" s="148"/>
      <c r="G1309" s="18">
        <v>2.7776000000000001</v>
      </c>
    </row>
    <row r="1310" spans="1:7" ht="15" customHeight="1">
      <c r="A1310" s="11"/>
      <c r="B1310" s="11"/>
      <c r="C1310" s="11"/>
      <c r="D1310" s="11"/>
      <c r="E1310" s="147" t="s">
        <v>401</v>
      </c>
      <c r="F1310" s="148"/>
      <c r="G1310" s="18">
        <v>14.22</v>
      </c>
    </row>
    <row r="1311" spans="1:7" ht="9.9499999999999993" customHeight="1">
      <c r="A1311" s="11"/>
      <c r="B1311" s="11"/>
      <c r="C1311" s="155" t="s">
        <v>370</v>
      </c>
      <c r="D1311" s="156"/>
      <c r="E1311" s="11"/>
      <c r="F1311" s="11"/>
      <c r="G1311" s="11"/>
    </row>
    <row r="1312" spans="1:7" ht="20.100000000000001" customHeight="1">
      <c r="A1312" s="149" t="s">
        <v>880</v>
      </c>
      <c r="B1312" s="150"/>
      <c r="C1312" s="150"/>
      <c r="D1312" s="150"/>
      <c r="E1312" s="150"/>
      <c r="F1312" s="150"/>
      <c r="G1312" s="150"/>
    </row>
    <row r="1313" spans="1:7" ht="15" customHeight="1">
      <c r="A1313" s="151" t="s">
        <v>414</v>
      </c>
      <c r="B1313" s="152"/>
      <c r="C1313" s="12" t="s">
        <v>373</v>
      </c>
      <c r="D1313" s="12" t="s">
        <v>374</v>
      </c>
      <c r="E1313" s="12" t="s">
        <v>375</v>
      </c>
      <c r="F1313" s="12" t="s">
        <v>376</v>
      </c>
      <c r="G1313" s="12" t="s">
        <v>377</v>
      </c>
    </row>
    <row r="1314" spans="1:7" ht="27.95" customHeight="1">
      <c r="A1314" s="13" t="s">
        <v>881</v>
      </c>
      <c r="B1314" s="14" t="s">
        <v>882</v>
      </c>
      <c r="C1314" s="13" t="s">
        <v>405</v>
      </c>
      <c r="D1314" s="13" t="s">
        <v>430</v>
      </c>
      <c r="E1314" s="15">
        <v>1</v>
      </c>
      <c r="F1314" s="16">
        <v>5.17</v>
      </c>
      <c r="G1314" s="16">
        <v>5.17</v>
      </c>
    </row>
    <row r="1315" spans="1:7" ht="27.95" customHeight="1">
      <c r="A1315" s="13" t="s">
        <v>883</v>
      </c>
      <c r="B1315" s="14" t="s">
        <v>884</v>
      </c>
      <c r="C1315" s="13" t="s">
        <v>405</v>
      </c>
      <c r="D1315" s="13" t="s">
        <v>430</v>
      </c>
      <c r="E1315" s="15">
        <v>1</v>
      </c>
      <c r="F1315" s="16">
        <v>11.63</v>
      </c>
      <c r="G1315" s="16">
        <v>11.63</v>
      </c>
    </row>
    <row r="1316" spans="1:7" ht="15" customHeight="1">
      <c r="A1316" s="11"/>
      <c r="B1316" s="11"/>
      <c r="C1316" s="11"/>
      <c r="D1316" s="11"/>
      <c r="E1316" s="153" t="s">
        <v>431</v>
      </c>
      <c r="F1316" s="154"/>
      <c r="G1316" s="17">
        <v>16.8</v>
      </c>
    </row>
    <row r="1317" spans="1:7" ht="15" customHeight="1">
      <c r="A1317" s="11"/>
      <c r="B1317" s="11"/>
      <c r="C1317" s="11"/>
      <c r="D1317" s="11"/>
      <c r="E1317" s="147" t="s">
        <v>397</v>
      </c>
      <c r="F1317" s="148"/>
      <c r="G1317" s="18">
        <v>16.8</v>
      </c>
    </row>
    <row r="1318" spans="1:7" ht="15" customHeight="1">
      <c r="A1318" s="11"/>
      <c r="B1318" s="11"/>
      <c r="C1318" s="11"/>
      <c r="D1318" s="11"/>
      <c r="E1318" s="147" t="s">
        <v>398</v>
      </c>
      <c r="F1318" s="148"/>
      <c r="G1318" s="18">
        <v>2.96</v>
      </c>
    </row>
    <row r="1319" spans="1:7" ht="15" customHeight="1">
      <c r="A1319" s="11"/>
      <c r="B1319" s="11"/>
      <c r="C1319" s="11"/>
      <c r="D1319" s="11"/>
      <c r="E1319" s="147" t="s">
        <v>399</v>
      </c>
      <c r="F1319" s="148"/>
      <c r="G1319" s="18">
        <v>19.760000000000002</v>
      </c>
    </row>
    <row r="1320" spans="1:7" ht="15" customHeight="1">
      <c r="A1320" s="11"/>
      <c r="B1320" s="11"/>
      <c r="C1320" s="11"/>
      <c r="D1320" s="11"/>
      <c r="E1320" s="147" t="s">
        <v>400</v>
      </c>
      <c r="F1320" s="148"/>
      <c r="G1320" s="18">
        <v>4.7976999999999999</v>
      </c>
    </row>
    <row r="1321" spans="1:7" ht="15" customHeight="1">
      <c r="A1321" s="11"/>
      <c r="B1321" s="11"/>
      <c r="C1321" s="11"/>
      <c r="D1321" s="11"/>
      <c r="E1321" s="147" t="s">
        <v>401</v>
      </c>
      <c r="F1321" s="148"/>
      <c r="G1321" s="18">
        <v>24.56</v>
      </c>
    </row>
    <row r="1322" spans="1:7" ht="9.9499999999999993" customHeight="1">
      <c r="A1322" s="11"/>
      <c r="B1322" s="11"/>
      <c r="C1322" s="155" t="s">
        <v>370</v>
      </c>
      <c r="D1322" s="156"/>
      <c r="E1322" s="11"/>
      <c r="F1322" s="11"/>
      <c r="G1322" s="11"/>
    </row>
    <row r="1323" spans="1:7" ht="20.100000000000001" customHeight="1">
      <c r="A1323" s="149" t="s">
        <v>885</v>
      </c>
      <c r="B1323" s="150"/>
      <c r="C1323" s="150"/>
      <c r="D1323" s="150"/>
      <c r="E1323" s="150"/>
      <c r="F1323" s="150"/>
      <c r="G1323" s="150"/>
    </row>
    <row r="1324" spans="1:7" ht="15" customHeight="1">
      <c r="A1324" s="151" t="s">
        <v>414</v>
      </c>
      <c r="B1324" s="152"/>
      <c r="C1324" s="12" t="s">
        <v>373</v>
      </c>
      <c r="D1324" s="12" t="s">
        <v>374</v>
      </c>
      <c r="E1324" s="12" t="s">
        <v>375</v>
      </c>
      <c r="F1324" s="12" t="s">
        <v>376</v>
      </c>
      <c r="G1324" s="12" t="s">
        <v>377</v>
      </c>
    </row>
    <row r="1325" spans="1:7" ht="27.95" customHeight="1">
      <c r="A1325" s="13" t="s">
        <v>881</v>
      </c>
      <c r="B1325" s="14" t="s">
        <v>882</v>
      </c>
      <c r="C1325" s="13" t="s">
        <v>405</v>
      </c>
      <c r="D1325" s="13" t="s">
        <v>430</v>
      </c>
      <c r="E1325" s="15">
        <v>1</v>
      </c>
      <c r="F1325" s="16">
        <v>5.17</v>
      </c>
      <c r="G1325" s="16">
        <v>5.17</v>
      </c>
    </row>
    <row r="1326" spans="1:7" ht="20.100000000000001" customHeight="1">
      <c r="A1326" s="13" t="s">
        <v>886</v>
      </c>
      <c r="B1326" s="14" t="s">
        <v>887</v>
      </c>
      <c r="C1326" s="13" t="s">
        <v>405</v>
      </c>
      <c r="D1326" s="13" t="s">
        <v>430</v>
      </c>
      <c r="E1326" s="15">
        <v>1</v>
      </c>
      <c r="F1326" s="16">
        <v>23.35</v>
      </c>
      <c r="G1326" s="16">
        <v>23.35</v>
      </c>
    </row>
    <row r="1327" spans="1:7" ht="15" customHeight="1">
      <c r="A1327" s="11"/>
      <c r="B1327" s="11"/>
      <c r="C1327" s="11"/>
      <c r="D1327" s="11"/>
      <c r="E1327" s="153" t="s">
        <v>431</v>
      </c>
      <c r="F1327" s="154"/>
      <c r="G1327" s="17">
        <v>28.52</v>
      </c>
    </row>
    <row r="1328" spans="1:7" ht="15" customHeight="1">
      <c r="A1328" s="11"/>
      <c r="B1328" s="11"/>
      <c r="C1328" s="11"/>
      <c r="D1328" s="11"/>
      <c r="E1328" s="147" t="s">
        <v>397</v>
      </c>
      <c r="F1328" s="148"/>
      <c r="G1328" s="18">
        <v>28.52</v>
      </c>
    </row>
    <row r="1329" spans="1:7" ht="15" customHeight="1">
      <c r="A1329" s="11"/>
      <c r="B1329" s="11"/>
      <c r="C1329" s="11"/>
      <c r="D1329" s="11"/>
      <c r="E1329" s="147" t="s">
        <v>398</v>
      </c>
      <c r="F1329" s="148"/>
      <c r="G1329" s="18">
        <v>4.46</v>
      </c>
    </row>
    <row r="1330" spans="1:7" ht="15" customHeight="1">
      <c r="A1330" s="11"/>
      <c r="B1330" s="11"/>
      <c r="C1330" s="11"/>
      <c r="D1330" s="11"/>
      <c r="E1330" s="147" t="s">
        <v>399</v>
      </c>
      <c r="F1330" s="148"/>
      <c r="G1330" s="18">
        <v>32.979999999999997</v>
      </c>
    </row>
    <row r="1331" spans="1:7" ht="15" customHeight="1">
      <c r="A1331" s="11"/>
      <c r="B1331" s="11"/>
      <c r="C1331" s="11"/>
      <c r="D1331" s="11"/>
      <c r="E1331" s="147" t="s">
        <v>400</v>
      </c>
      <c r="F1331" s="148"/>
      <c r="G1331" s="18">
        <v>8.0075000000000003</v>
      </c>
    </row>
    <row r="1332" spans="1:7" ht="15" customHeight="1">
      <c r="A1332" s="11"/>
      <c r="B1332" s="11"/>
      <c r="C1332" s="11"/>
      <c r="D1332" s="11"/>
      <c r="E1332" s="147" t="s">
        <v>401</v>
      </c>
      <c r="F1332" s="148"/>
      <c r="G1332" s="18">
        <v>40.99</v>
      </c>
    </row>
    <row r="1333" spans="1:7" ht="9.9499999999999993" customHeight="1">
      <c r="A1333" s="11"/>
      <c r="B1333" s="11"/>
      <c r="C1333" s="155" t="s">
        <v>370</v>
      </c>
      <c r="D1333" s="156"/>
      <c r="E1333" s="11"/>
      <c r="F1333" s="11"/>
      <c r="G1333" s="11"/>
    </row>
    <row r="1334" spans="1:7" ht="20.100000000000001" customHeight="1">
      <c r="A1334" s="149" t="s">
        <v>888</v>
      </c>
      <c r="B1334" s="150"/>
      <c r="C1334" s="150"/>
      <c r="D1334" s="150"/>
      <c r="E1334" s="150"/>
      <c r="F1334" s="150"/>
      <c r="G1334" s="150"/>
    </row>
    <row r="1335" spans="1:7" ht="15" customHeight="1">
      <c r="A1335" s="151" t="s">
        <v>383</v>
      </c>
      <c r="B1335" s="152"/>
      <c r="C1335" s="12" t="s">
        <v>373</v>
      </c>
      <c r="D1335" s="12" t="s">
        <v>374</v>
      </c>
      <c r="E1335" s="12" t="s">
        <v>375</v>
      </c>
      <c r="F1335" s="12" t="s">
        <v>376</v>
      </c>
      <c r="G1335" s="12" t="s">
        <v>377</v>
      </c>
    </row>
    <row r="1336" spans="1:7" ht="27.95" customHeight="1">
      <c r="A1336" s="13" t="s">
        <v>889</v>
      </c>
      <c r="B1336" s="14" t="s">
        <v>890</v>
      </c>
      <c r="C1336" s="13" t="s">
        <v>405</v>
      </c>
      <c r="D1336" s="13" t="s">
        <v>392</v>
      </c>
      <c r="E1336" s="15">
        <v>1.19</v>
      </c>
      <c r="F1336" s="16">
        <v>1.21</v>
      </c>
      <c r="G1336" s="16">
        <v>1.44</v>
      </c>
    </row>
    <row r="1337" spans="1:7" ht="20.100000000000001" customHeight="1">
      <c r="A1337" s="13" t="s">
        <v>891</v>
      </c>
      <c r="B1337" s="14" t="s">
        <v>892</v>
      </c>
      <c r="C1337" s="13" t="s">
        <v>405</v>
      </c>
      <c r="D1337" s="13" t="s">
        <v>430</v>
      </c>
      <c r="E1337" s="15">
        <v>8.9999999999999993E-3</v>
      </c>
      <c r="F1337" s="16">
        <v>4.0999999999999996</v>
      </c>
      <c r="G1337" s="16">
        <v>0.04</v>
      </c>
    </row>
    <row r="1338" spans="1:7" ht="15" customHeight="1">
      <c r="A1338" s="11"/>
      <c r="B1338" s="11"/>
      <c r="C1338" s="11"/>
      <c r="D1338" s="11"/>
      <c r="E1338" s="153" t="s">
        <v>396</v>
      </c>
      <c r="F1338" s="154"/>
      <c r="G1338" s="17">
        <v>1.48</v>
      </c>
    </row>
    <row r="1339" spans="1:7" ht="15" customHeight="1">
      <c r="A1339" s="151" t="s">
        <v>414</v>
      </c>
      <c r="B1339" s="152"/>
      <c r="C1339" s="12" t="s">
        <v>373</v>
      </c>
      <c r="D1339" s="12" t="s">
        <v>374</v>
      </c>
      <c r="E1339" s="12" t="s">
        <v>375</v>
      </c>
      <c r="F1339" s="12" t="s">
        <v>376</v>
      </c>
      <c r="G1339" s="12" t="s">
        <v>377</v>
      </c>
    </row>
    <row r="1340" spans="1:7" ht="15" customHeight="1">
      <c r="A1340" s="13" t="s">
        <v>839</v>
      </c>
      <c r="B1340" s="14" t="s">
        <v>840</v>
      </c>
      <c r="C1340" s="13" t="s">
        <v>405</v>
      </c>
      <c r="D1340" s="13" t="s">
        <v>381</v>
      </c>
      <c r="E1340" s="15">
        <v>0.03</v>
      </c>
      <c r="F1340" s="16">
        <v>9.7899999999999991</v>
      </c>
      <c r="G1340" s="16">
        <v>0.28999999999999998</v>
      </c>
    </row>
    <row r="1341" spans="1:7" ht="15" customHeight="1">
      <c r="A1341" s="13" t="s">
        <v>841</v>
      </c>
      <c r="B1341" s="14" t="s">
        <v>842</v>
      </c>
      <c r="C1341" s="13" t="s">
        <v>405</v>
      </c>
      <c r="D1341" s="13" t="s">
        <v>381</v>
      </c>
      <c r="E1341" s="15">
        <v>0.03</v>
      </c>
      <c r="F1341" s="16">
        <v>11.82</v>
      </c>
      <c r="G1341" s="16">
        <v>0.35</v>
      </c>
    </row>
    <row r="1342" spans="1:7" ht="15" customHeight="1">
      <c r="A1342" s="11"/>
      <c r="B1342" s="11"/>
      <c r="C1342" s="11"/>
      <c r="D1342" s="11"/>
      <c r="E1342" s="153" t="s">
        <v>431</v>
      </c>
      <c r="F1342" s="154"/>
      <c r="G1342" s="17">
        <v>0.64</v>
      </c>
    </row>
    <row r="1343" spans="1:7" ht="15" customHeight="1">
      <c r="A1343" s="11"/>
      <c r="B1343" s="11"/>
      <c r="C1343" s="11"/>
      <c r="D1343" s="11"/>
      <c r="E1343" s="147" t="s">
        <v>397</v>
      </c>
      <c r="F1343" s="148"/>
      <c r="G1343" s="18">
        <v>2.12</v>
      </c>
    </row>
    <row r="1344" spans="1:7" ht="15" customHeight="1">
      <c r="A1344" s="11"/>
      <c r="B1344" s="11"/>
      <c r="C1344" s="11"/>
      <c r="D1344" s="11"/>
      <c r="E1344" s="147" t="s">
        <v>398</v>
      </c>
      <c r="F1344" s="148"/>
      <c r="G1344" s="18">
        <v>0.27</v>
      </c>
    </row>
    <row r="1345" spans="1:7" ht="15" customHeight="1">
      <c r="A1345" s="11"/>
      <c r="B1345" s="11"/>
      <c r="C1345" s="11"/>
      <c r="D1345" s="11"/>
      <c r="E1345" s="147" t="s">
        <v>399</v>
      </c>
      <c r="F1345" s="148"/>
      <c r="G1345" s="18">
        <v>2.39</v>
      </c>
    </row>
    <row r="1346" spans="1:7" ht="15" customHeight="1">
      <c r="A1346" s="11"/>
      <c r="B1346" s="11"/>
      <c r="C1346" s="11"/>
      <c r="D1346" s="11"/>
      <c r="E1346" s="147" t="s">
        <v>400</v>
      </c>
      <c r="F1346" s="148"/>
      <c r="G1346" s="18">
        <v>0.58030000000000004</v>
      </c>
    </row>
    <row r="1347" spans="1:7" ht="15" customHeight="1">
      <c r="A1347" s="11"/>
      <c r="B1347" s="11"/>
      <c r="C1347" s="11"/>
      <c r="D1347" s="11"/>
      <c r="E1347" s="147" t="s">
        <v>401</v>
      </c>
      <c r="F1347" s="148"/>
      <c r="G1347" s="18">
        <v>2.97</v>
      </c>
    </row>
    <row r="1348" spans="1:7" ht="9.9499999999999993" customHeight="1">
      <c r="A1348" s="11"/>
      <c r="B1348" s="11"/>
      <c r="C1348" s="155" t="s">
        <v>370</v>
      </c>
      <c r="D1348" s="156"/>
      <c r="E1348" s="11"/>
      <c r="F1348" s="11"/>
      <c r="G1348" s="11"/>
    </row>
    <row r="1349" spans="1:7" ht="20.100000000000001" customHeight="1">
      <c r="A1349" s="149" t="s">
        <v>893</v>
      </c>
      <c r="B1349" s="150"/>
      <c r="C1349" s="150"/>
      <c r="D1349" s="150"/>
      <c r="E1349" s="150"/>
      <c r="F1349" s="150"/>
      <c r="G1349" s="150"/>
    </row>
    <row r="1350" spans="1:7" ht="15" customHeight="1">
      <c r="A1350" s="151" t="s">
        <v>383</v>
      </c>
      <c r="B1350" s="152"/>
      <c r="C1350" s="12" t="s">
        <v>373</v>
      </c>
      <c r="D1350" s="12" t="s">
        <v>374</v>
      </c>
      <c r="E1350" s="12" t="s">
        <v>375</v>
      </c>
      <c r="F1350" s="12" t="s">
        <v>376</v>
      </c>
      <c r="G1350" s="12" t="s">
        <v>377</v>
      </c>
    </row>
    <row r="1351" spans="1:7" ht="27.95" customHeight="1">
      <c r="A1351" s="13" t="s">
        <v>894</v>
      </c>
      <c r="B1351" s="14" t="s">
        <v>895</v>
      </c>
      <c r="C1351" s="13" t="s">
        <v>405</v>
      </c>
      <c r="D1351" s="13" t="s">
        <v>392</v>
      </c>
      <c r="E1351" s="15">
        <v>1.0149999999999999</v>
      </c>
      <c r="F1351" s="16">
        <v>13.16</v>
      </c>
      <c r="G1351" s="16">
        <v>13.36</v>
      </c>
    </row>
    <row r="1352" spans="1:7" ht="20.100000000000001" customHeight="1">
      <c r="A1352" s="13" t="s">
        <v>891</v>
      </c>
      <c r="B1352" s="14" t="s">
        <v>892</v>
      </c>
      <c r="C1352" s="13" t="s">
        <v>405</v>
      </c>
      <c r="D1352" s="13" t="s">
        <v>430</v>
      </c>
      <c r="E1352" s="15">
        <v>8.9999999999999993E-3</v>
      </c>
      <c r="F1352" s="16">
        <v>4.0999999999999996</v>
      </c>
      <c r="G1352" s="16">
        <v>0.04</v>
      </c>
    </row>
    <row r="1353" spans="1:7" ht="15" customHeight="1">
      <c r="A1353" s="11"/>
      <c r="B1353" s="11"/>
      <c r="C1353" s="11"/>
      <c r="D1353" s="11"/>
      <c r="E1353" s="153" t="s">
        <v>396</v>
      </c>
      <c r="F1353" s="154"/>
      <c r="G1353" s="17">
        <v>13.4</v>
      </c>
    </row>
    <row r="1354" spans="1:7" ht="15" customHeight="1">
      <c r="A1354" s="151" t="s">
        <v>414</v>
      </c>
      <c r="B1354" s="152"/>
      <c r="C1354" s="12" t="s">
        <v>373</v>
      </c>
      <c r="D1354" s="12" t="s">
        <v>374</v>
      </c>
      <c r="E1354" s="12" t="s">
        <v>375</v>
      </c>
      <c r="F1354" s="12" t="s">
        <v>376</v>
      </c>
      <c r="G1354" s="12" t="s">
        <v>377</v>
      </c>
    </row>
    <row r="1355" spans="1:7" ht="15" customHeight="1">
      <c r="A1355" s="13" t="s">
        <v>839</v>
      </c>
      <c r="B1355" s="14" t="s">
        <v>840</v>
      </c>
      <c r="C1355" s="13" t="s">
        <v>405</v>
      </c>
      <c r="D1355" s="13" t="s">
        <v>381</v>
      </c>
      <c r="E1355" s="15">
        <v>6.4000000000000001E-2</v>
      </c>
      <c r="F1355" s="16">
        <v>9.7899999999999991</v>
      </c>
      <c r="G1355" s="16">
        <v>0.63</v>
      </c>
    </row>
    <row r="1356" spans="1:7" ht="15" customHeight="1">
      <c r="A1356" s="13" t="s">
        <v>841</v>
      </c>
      <c r="B1356" s="14" t="s">
        <v>842</v>
      </c>
      <c r="C1356" s="13" t="s">
        <v>405</v>
      </c>
      <c r="D1356" s="13" t="s">
        <v>381</v>
      </c>
      <c r="E1356" s="15">
        <v>6.4000000000000001E-2</v>
      </c>
      <c r="F1356" s="16">
        <v>11.82</v>
      </c>
      <c r="G1356" s="16">
        <v>0.76</v>
      </c>
    </row>
    <row r="1357" spans="1:7" ht="15" customHeight="1">
      <c r="A1357" s="11"/>
      <c r="B1357" s="11"/>
      <c r="C1357" s="11"/>
      <c r="D1357" s="11"/>
      <c r="E1357" s="153" t="s">
        <v>431</v>
      </c>
      <c r="F1357" s="154"/>
      <c r="G1357" s="17">
        <v>1.39</v>
      </c>
    </row>
    <row r="1358" spans="1:7" ht="15" customHeight="1">
      <c r="A1358" s="11"/>
      <c r="B1358" s="11"/>
      <c r="C1358" s="11"/>
      <c r="D1358" s="11"/>
      <c r="E1358" s="147" t="s">
        <v>397</v>
      </c>
      <c r="F1358" s="148"/>
      <c r="G1358" s="18">
        <v>14.79</v>
      </c>
    </row>
    <row r="1359" spans="1:7" ht="15" customHeight="1">
      <c r="A1359" s="11"/>
      <c r="B1359" s="11"/>
      <c r="C1359" s="11"/>
      <c r="D1359" s="11"/>
      <c r="E1359" s="147" t="s">
        <v>398</v>
      </c>
      <c r="F1359" s="148"/>
      <c r="G1359" s="18">
        <v>0.59</v>
      </c>
    </row>
    <row r="1360" spans="1:7" ht="15" customHeight="1">
      <c r="A1360" s="11"/>
      <c r="B1360" s="11"/>
      <c r="C1360" s="11"/>
      <c r="D1360" s="11"/>
      <c r="E1360" s="147" t="s">
        <v>399</v>
      </c>
      <c r="F1360" s="148"/>
      <c r="G1360" s="18">
        <v>15.38</v>
      </c>
    </row>
    <row r="1361" spans="1:7" ht="15" customHeight="1">
      <c r="A1361" s="11"/>
      <c r="B1361" s="11"/>
      <c r="C1361" s="11"/>
      <c r="D1361" s="11"/>
      <c r="E1361" s="147" t="s">
        <v>400</v>
      </c>
      <c r="F1361" s="148"/>
      <c r="G1361" s="18">
        <v>3.7343000000000002</v>
      </c>
    </row>
    <row r="1362" spans="1:7" ht="15" customHeight="1">
      <c r="A1362" s="11"/>
      <c r="B1362" s="11"/>
      <c r="C1362" s="11"/>
      <c r="D1362" s="11"/>
      <c r="E1362" s="147" t="s">
        <v>401</v>
      </c>
      <c r="F1362" s="148"/>
      <c r="G1362" s="18">
        <v>19.11</v>
      </c>
    </row>
    <row r="1363" spans="1:7" ht="9.9499999999999993" customHeight="1">
      <c r="A1363" s="11"/>
      <c r="B1363" s="11"/>
      <c r="C1363" s="155" t="s">
        <v>370</v>
      </c>
      <c r="D1363" s="156"/>
      <c r="E1363" s="11"/>
      <c r="F1363" s="11"/>
      <c r="G1363" s="11"/>
    </row>
    <row r="1364" spans="1:7" ht="20.100000000000001" customHeight="1">
      <c r="A1364" s="149" t="s">
        <v>896</v>
      </c>
      <c r="B1364" s="150"/>
      <c r="C1364" s="150"/>
      <c r="D1364" s="150"/>
      <c r="E1364" s="150"/>
      <c r="F1364" s="150"/>
      <c r="G1364" s="150"/>
    </row>
    <row r="1365" spans="1:7" ht="20.100000000000001" customHeight="1">
      <c r="A1365" s="149" t="s">
        <v>897</v>
      </c>
      <c r="B1365" s="150"/>
      <c r="C1365" s="150"/>
      <c r="D1365" s="150"/>
      <c r="E1365" s="150"/>
      <c r="F1365" s="150"/>
      <c r="G1365" s="150"/>
    </row>
    <row r="1366" spans="1:7" ht="15" customHeight="1">
      <c r="A1366" s="151" t="s">
        <v>372</v>
      </c>
      <c r="B1366" s="152"/>
      <c r="C1366" s="12" t="s">
        <v>373</v>
      </c>
      <c r="D1366" s="12" t="s">
        <v>374</v>
      </c>
      <c r="E1366" s="12" t="s">
        <v>375</v>
      </c>
      <c r="F1366" s="12" t="s">
        <v>376</v>
      </c>
      <c r="G1366" s="12" t="s">
        <v>377</v>
      </c>
    </row>
    <row r="1367" spans="1:7" ht="15" customHeight="1">
      <c r="A1367" s="13" t="s">
        <v>854</v>
      </c>
      <c r="B1367" s="14" t="s">
        <v>833</v>
      </c>
      <c r="C1367" s="13" t="s">
        <v>380</v>
      </c>
      <c r="D1367" s="13" t="s">
        <v>381</v>
      </c>
      <c r="E1367" s="15">
        <v>1.5</v>
      </c>
      <c r="F1367" s="16">
        <v>7.8402000000000003</v>
      </c>
      <c r="G1367" s="16">
        <v>11.76</v>
      </c>
    </row>
    <row r="1368" spans="1:7" ht="15" customHeight="1">
      <c r="A1368" s="13" t="s">
        <v>855</v>
      </c>
      <c r="B1368" s="14" t="s">
        <v>831</v>
      </c>
      <c r="C1368" s="13" t="s">
        <v>380</v>
      </c>
      <c r="D1368" s="13" t="s">
        <v>381</v>
      </c>
      <c r="E1368" s="15">
        <v>1.5</v>
      </c>
      <c r="F1368" s="16">
        <v>9.7569999999999997</v>
      </c>
      <c r="G1368" s="16">
        <v>14.64</v>
      </c>
    </row>
    <row r="1369" spans="1:7" ht="15" customHeight="1">
      <c r="A1369" s="11"/>
      <c r="B1369" s="11"/>
      <c r="C1369" s="11"/>
      <c r="D1369" s="11"/>
      <c r="E1369" s="153" t="s">
        <v>382</v>
      </c>
      <c r="F1369" s="154"/>
      <c r="G1369" s="17">
        <v>26.4</v>
      </c>
    </row>
    <row r="1370" spans="1:7" ht="15" customHeight="1">
      <c r="A1370" s="151" t="s">
        <v>383</v>
      </c>
      <c r="B1370" s="152"/>
      <c r="C1370" s="12" t="s">
        <v>373</v>
      </c>
      <c r="D1370" s="12" t="s">
        <v>374</v>
      </c>
      <c r="E1370" s="12" t="s">
        <v>375</v>
      </c>
      <c r="F1370" s="12" t="s">
        <v>376</v>
      </c>
      <c r="G1370" s="12" t="s">
        <v>377</v>
      </c>
    </row>
    <row r="1371" spans="1:7" ht="44.1" customHeight="1">
      <c r="A1371" s="13" t="s">
        <v>898</v>
      </c>
      <c r="B1371" s="14" t="s">
        <v>899</v>
      </c>
      <c r="C1371" s="13" t="s">
        <v>380</v>
      </c>
      <c r="D1371" s="13" t="s">
        <v>430</v>
      </c>
      <c r="E1371" s="15">
        <v>1</v>
      </c>
      <c r="F1371" s="16">
        <v>102.78</v>
      </c>
      <c r="G1371" s="16">
        <v>102.78</v>
      </c>
    </row>
    <row r="1372" spans="1:7" ht="15" customHeight="1">
      <c r="A1372" s="11"/>
      <c r="B1372" s="11"/>
      <c r="C1372" s="11"/>
      <c r="D1372" s="11"/>
      <c r="E1372" s="153" t="s">
        <v>396</v>
      </c>
      <c r="F1372" s="154"/>
      <c r="G1372" s="17">
        <v>102.78</v>
      </c>
    </row>
    <row r="1373" spans="1:7" ht="15" customHeight="1">
      <c r="A1373" s="11"/>
      <c r="B1373" s="11"/>
      <c r="C1373" s="11"/>
      <c r="D1373" s="11"/>
      <c r="E1373" s="147" t="s">
        <v>397</v>
      </c>
      <c r="F1373" s="148"/>
      <c r="G1373" s="18">
        <v>129.18</v>
      </c>
    </row>
    <row r="1374" spans="1:7" ht="15" customHeight="1">
      <c r="A1374" s="11"/>
      <c r="B1374" s="11"/>
      <c r="C1374" s="11"/>
      <c r="D1374" s="11"/>
      <c r="E1374" s="147" t="s">
        <v>398</v>
      </c>
      <c r="F1374" s="148"/>
      <c r="G1374" s="18">
        <v>22.49</v>
      </c>
    </row>
    <row r="1375" spans="1:7" ht="15" customHeight="1">
      <c r="A1375" s="11"/>
      <c r="B1375" s="11"/>
      <c r="C1375" s="11"/>
      <c r="D1375" s="11"/>
      <c r="E1375" s="147" t="s">
        <v>399</v>
      </c>
      <c r="F1375" s="148"/>
      <c r="G1375" s="18">
        <v>151.66999999999999</v>
      </c>
    </row>
    <row r="1376" spans="1:7" ht="15" customHeight="1">
      <c r="A1376" s="11"/>
      <c r="B1376" s="11"/>
      <c r="C1376" s="11"/>
      <c r="D1376" s="11"/>
      <c r="E1376" s="147" t="s">
        <v>400</v>
      </c>
      <c r="F1376" s="148"/>
      <c r="G1376" s="18">
        <v>36.825499999999998</v>
      </c>
    </row>
    <row r="1377" spans="1:7" ht="15" customHeight="1">
      <c r="A1377" s="11"/>
      <c r="B1377" s="11"/>
      <c r="C1377" s="11"/>
      <c r="D1377" s="11"/>
      <c r="E1377" s="147" t="s">
        <v>401</v>
      </c>
      <c r="F1377" s="148"/>
      <c r="G1377" s="18">
        <v>188.5</v>
      </c>
    </row>
    <row r="1378" spans="1:7" ht="9.9499999999999993" customHeight="1">
      <c r="A1378" s="11"/>
      <c r="B1378" s="11"/>
      <c r="C1378" s="155" t="s">
        <v>370</v>
      </c>
      <c r="D1378" s="156"/>
      <c r="E1378" s="11"/>
      <c r="F1378" s="11"/>
      <c r="G1378" s="11"/>
    </row>
    <row r="1379" spans="1:7" ht="27" customHeight="1">
      <c r="A1379" s="149" t="s">
        <v>900</v>
      </c>
      <c r="B1379" s="150"/>
      <c r="C1379" s="150"/>
      <c r="D1379" s="150"/>
      <c r="E1379" s="150"/>
      <c r="F1379" s="150"/>
      <c r="G1379" s="150"/>
    </row>
    <row r="1380" spans="1:7" ht="9.9499999999999993" customHeight="1">
      <c r="A1380" s="158"/>
      <c r="B1380" s="158"/>
      <c r="C1380" s="158"/>
      <c r="D1380" s="158"/>
      <c r="E1380" s="158"/>
      <c r="F1380" s="158"/>
      <c r="G1380" s="158"/>
    </row>
    <row r="1381" spans="1:7" ht="15" customHeight="1">
      <c r="A1381" s="11"/>
      <c r="B1381" s="11"/>
      <c r="C1381" s="11"/>
      <c r="D1381" s="11"/>
      <c r="E1381" s="147" t="s">
        <v>397</v>
      </c>
      <c r="F1381" s="148"/>
      <c r="G1381" s="18">
        <v>435</v>
      </c>
    </row>
    <row r="1382" spans="1:7" ht="15" customHeight="1">
      <c r="A1382" s="11"/>
      <c r="B1382" s="11"/>
      <c r="C1382" s="11"/>
      <c r="D1382" s="11"/>
      <c r="E1382" s="147" t="s">
        <v>545</v>
      </c>
      <c r="F1382" s="148"/>
      <c r="G1382" s="18">
        <v>0</v>
      </c>
    </row>
    <row r="1383" spans="1:7" ht="15" customHeight="1">
      <c r="A1383" s="11"/>
      <c r="B1383" s="11"/>
      <c r="C1383" s="11"/>
      <c r="D1383" s="11"/>
      <c r="E1383" s="147" t="s">
        <v>399</v>
      </c>
      <c r="F1383" s="148"/>
      <c r="G1383" s="18">
        <v>435</v>
      </c>
    </row>
    <row r="1384" spans="1:7" ht="15" customHeight="1">
      <c r="A1384" s="11"/>
      <c r="B1384" s="11"/>
      <c r="C1384" s="11"/>
      <c r="D1384" s="11"/>
      <c r="E1384" s="147" t="s">
        <v>400</v>
      </c>
      <c r="F1384" s="148"/>
      <c r="G1384" s="18">
        <v>105.61799999999999</v>
      </c>
    </row>
    <row r="1385" spans="1:7" ht="15" customHeight="1">
      <c r="A1385" s="11"/>
      <c r="B1385" s="11"/>
      <c r="C1385" s="11"/>
      <c r="D1385" s="11"/>
      <c r="E1385" s="147" t="s">
        <v>401</v>
      </c>
      <c r="F1385" s="148"/>
      <c r="G1385" s="18">
        <v>540.62</v>
      </c>
    </row>
    <row r="1386" spans="1:7" ht="9.9499999999999993" customHeight="1">
      <c r="A1386" s="11"/>
      <c r="B1386" s="11"/>
      <c r="C1386" s="155" t="s">
        <v>370</v>
      </c>
      <c r="D1386" s="156"/>
      <c r="E1386" s="11"/>
      <c r="F1386" s="11"/>
      <c r="G1386" s="11"/>
    </row>
    <row r="1387" spans="1:7" ht="20.100000000000001" customHeight="1">
      <c r="A1387" s="149" t="s">
        <v>901</v>
      </c>
      <c r="B1387" s="150"/>
      <c r="C1387" s="150"/>
      <c r="D1387" s="150"/>
      <c r="E1387" s="150"/>
      <c r="F1387" s="150"/>
      <c r="G1387" s="150"/>
    </row>
    <row r="1388" spans="1:7" ht="15" customHeight="1">
      <c r="A1388" s="151" t="s">
        <v>372</v>
      </c>
      <c r="B1388" s="152"/>
      <c r="C1388" s="12" t="s">
        <v>373</v>
      </c>
      <c r="D1388" s="12" t="s">
        <v>374</v>
      </c>
      <c r="E1388" s="12" t="s">
        <v>375</v>
      </c>
      <c r="F1388" s="12" t="s">
        <v>376</v>
      </c>
      <c r="G1388" s="12" t="s">
        <v>377</v>
      </c>
    </row>
    <row r="1389" spans="1:7" ht="15" customHeight="1">
      <c r="A1389" s="13" t="s">
        <v>854</v>
      </c>
      <c r="B1389" s="14" t="s">
        <v>833</v>
      </c>
      <c r="C1389" s="13" t="s">
        <v>380</v>
      </c>
      <c r="D1389" s="13" t="s">
        <v>381</v>
      </c>
      <c r="E1389" s="15">
        <v>1.5</v>
      </c>
      <c r="F1389" s="16">
        <v>7.8402000000000003</v>
      </c>
      <c r="G1389" s="16">
        <v>11.76</v>
      </c>
    </row>
    <row r="1390" spans="1:7" ht="15" customHeight="1">
      <c r="A1390" s="13" t="s">
        <v>855</v>
      </c>
      <c r="B1390" s="14" t="s">
        <v>831</v>
      </c>
      <c r="C1390" s="13" t="s">
        <v>380</v>
      </c>
      <c r="D1390" s="13" t="s">
        <v>381</v>
      </c>
      <c r="E1390" s="15">
        <v>1.5</v>
      </c>
      <c r="F1390" s="16">
        <v>9.7569999999999997</v>
      </c>
      <c r="G1390" s="16">
        <v>14.64</v>
      </c>
    </row>
    <row r="1391" spans="1:7" ht="15" customHeight="1">
      <c r="A1391" s="11"/>
      <c r="B1391" s="11"/>
      <c r="C1391" s="11"/>
      <c r="D1391" s="11"/>
      <c r="E1391" s="153" t="s">
        <v>382</v>
      </c>
      <c r="F1391" s="154"/>
      <c r="G1391" s="17">
        <v>26.4</v>
      </c>
    </row>
    <row r="1392" spans="1:7" ht="15" customHeight="1">
      <c r="A1392" s="151" t="s">
        <v>383</v>
      </c>
      <c r="B1392" s="152"/>
      <c r="C1392" s="12" t="s">
        <v>373</v>
      </c>
      <c r="D1392" s="12" t="s">
        <v>374</v>
      </c>
      <c r="E1392" s="12" t="s">
        <v>375</v>
      </c>
      <c r="F1392" s="12" t="s">
        <v>376</v>
      </c>
      <c r="G1392" s="12" t="s">
        <v>377</v>
      </c>
    </row>
    <row r="1393" spans="1:7" ht="20.100000000000001" customHeight="1">
      <c r="A1393" s="13" t="s">
        <v>902</v>
      </c>
      <c r="B1393" s="14" t="s">
        <v>903</v>
      </c>
      <c r="C1393" s="13" t="s">
        <v>380</v>
      </c>
      <c r="D1393" s="13" t="s">
        <v>430</v>
      </c>
      <c r="E1393" s="15">
        <v>1</v>
      </c>
      <c r="F1393" s="16">
        <v>48.6</v>
      </c>
      <c r="G1393" s="16">
        <v>48.6</v>
      </c>
    </row>
    <row r="1394" spans="1:7" ht="15" customHeight="1">
      <c r="A1394" s="13" t="s">
        <v>904</v>
      </c>
      <c r="B1394" s="14" t="s">
        <v>905</v>
      </c>
      <c r="C1394" s="13" t="s">
        <v>380</v>
      </c>
      <c r="D1394" s="13" t="s">
        <v>430</v>
      </c>
      <c r="E1394" s="15">
        <v>1</v>
      </c>
      <c r="F1394" s="16">
        <v>36.04</v>
      </c>
      <c r="G1394" s="16">
        <v>36.04</v>
      </c>
    </row>
    <row r="1395" spans="1:7" ht="15" customHeight="1">
      <c r="A1395" s="13" t="s">
        <v>906</v>
      </c>
      <c r="B1395" s="14" t="s">
        <v>907</v>
      </c>
      <c r="C1395" s="13" t="s">
        <v>380</v>
      </c>
      <c r="D1395" s="13" t="s">
        <v>430</v>
      </c>
      <c r="E1395" s="15">
        <v>1</v>
      </c>
      <c r="F1395" s="16">
        <v>38.01</v>
      </c>
      <c r="G1395" s="16">
        <v>38.01</v>
      </c>
    </row>
    <row r="1396" spans="1:7" ht="15" customHeight="1">
      <c r="A1396" s="11"/>
      <c r="B1396" s="11"/>
      <c r="C1396" s="11"/>
      <c r="D1396" s="11"/>
      <c r="E1396" s="153" t="s">
        <v>396</v>
      </c>
      <c r="F1396" s="154"/>
      <c r="G1396" s="17">
        <v>122.65</v>
      </c>
    </row>
    <row r="1397" spans="1:7" ht="15" customHeight="1">
      <c r="A1397" s="11"/>
      <c r="B1397" s="11"/>
      <c r="C1397" s="11"/>
      <c r="D1397" s="11"/>
      <c r="E1397" s="147" t="s">
        <v>397</v>
      </c>
      <c r="F1397" s="148"/>
      <c r="G1397" s="18">
        <v>149.05000000000001</v>
      </c>
    </row>
    <row r="1398" spans="1:7" ht="15" customHeight="1">
      <c r="A1398" s="11"/>
      <c r="B1398" s="11"/>
      <c r="C1398" s="11"/>
      <c r="D1398" s="11"/>
      <c r="E1398" s="147" t="s">
        <v>398</v>
      </c>
      <c r="F1398" s="148"/>
      <c r="G1398" s="18">
        <v>22.49</v>
      </c>
    </row>
    <row r="1399" spans="1:7" ht="15" customHeight="1">
      <c r="A1399" s="11"/>
      <c r="B1399" s="11"/>
      <c r="C1399" s="11"/>
      <c r="D1399" s="11"/>
      <c r="E1399" s="147" t="s">
        <v>399</v>
      </c>
      <c r="F1399" s="148"/>
      <c r="G1399" s="18">
        <v>171.54</v>
      </c>
    </row>
    <row r="1400" spans="1:7" ht="15" customHeight="1">
      <c r="A1400" s="11"/>
      <c r="B1400" s="11"/>
      <c r="C1400" s="11"/>
      <c r="D1400" s="11"/>
      <c r="E1400" s="147" t="s">
        <v>400</v>
      </c>
      <c r="F1400" s="148"/>
      <c r="G1400" s="18">
        <v>41.649900000000002</v>
      </c>
    </row>
    <row r="1401" spans="1:7" ht="15" customHeight="1">
      <c r="A1401" s="11"/>
      <c r="B1401" s="11"/>
      <c r="C1401" s="11"/>
      <c r="D1401" s="11"/>
      <c r="E1401" s="147" t="s">
        <v>401</v>
      </c>
      <c r="F1401" s="148"/>
      <c r="G1401" s="18">
        <v>213.19</v>
      </c>
    </row>
    <row r="1402" spans="1:7" ht="9.9499999999999993" customHeight="1">
      <c r="A1402" s="11"/>
      <c r="B1402" s="11"/>
      <c r="C1402" s="155" t="s">
        <v>370</v>
      </c>
      <c r="D1402" s="156"/>
      <c r="E1402" s="11"/>
      <c r="F1402" s="11"/>
      <c r="G1402" s="11"/>
    </row>
    <row r="1403" spans="1:7" ht="20.100000000000001" customHeight="1">
      <c r="A1403" s="149" t="s">
        <v>908</v>
      </c>
      <c r="B1403" s="150"/>
      <c r="C1403" s="150"/>
      <c r="D1403" s="150"/>
      <c r="E1403" s="150"/>
      <c r="F1403" s="150"/>
      <c r="G1403" s="150"/>
    </row>
    <row r="1404" spans="1:7" ht="15" customHeight="1">
      <c r="A1404" s="151" t="s">
        <v>372</v>
      </c>
      <c r="B1404" s="152"/>
      <c r="C1404" s="12" t="s">
        <v>373</v>
      </c>
      <c r="D1404" s="12" t="s">
        <v>374</v>
      </c>
      <c r="E1404" s="12" t="s">
        <v>375</v>
      </c>
      <c r="F1404" s="12" t="s">
        <v>376</v>
      </c>
      <c r="G1404" s="12" t="s">
        <v>377</v>
      </c>
    </row>
    <row r="1405" spans="1:7" ht="15" customHeight="1">
      <c r="A1405" s="13" t="s">
        <v>438</v>
      </c>
      <c r="B1405" s="14" t="s">
        <v>439</v>
      </c>
      <c r="C1405" s="13" t="s">
        <v>380</v>
      </c>
      <c r="D1405" s="13" t="s">
        <v>381</v>
      </c>
      <c r="E1405" s="15">
        <v>1.2</v>
      </c>
      <c r="F1405" s="16">
        <v>9.6273999999999997</v>
      </c>
      <c r="G1405" s="16">
        <v>11.55</v>
      </c>
    </row>
    <row r="1406" spans="1:7" ht="15" customHeight="1">
      <c r="A1406" s="13" t="s">
        <v>378</v>
      </c>
      <c r="B1406" s="14" t="s">
        <v>379</v>
      </c>
      <c r="C1406" s="13" t="s">
        <v>380</v>
      </c>
      <c r="D1406" s="13" t="s">
        <v>381</v>
      </c>
      <c r="E1406" s="15">
        <v>2</v>
      </c>
      <c r="F1406" s="16">
        <v>7.1327999999999996</v>
      </c>
      <c r="G1406" s="16">
        <v>14.27</v>
      </c>
    </row>
    <row r="1407" spans="1:7" ht="15" customHeight="1">
      <c r="A1407" s="11"/>
      <c r="B1407" s="11"/>
      <c r="C1407" s="11"/>
      <c r="D1407" s="11"/>
      <c r="E1407" s="153" t="s">
        <v>382</v>
      </c>
      <c r="F1407" s="154"/>
      <c r="G1407" s="17">
        <v>25.82</v>
      </c>
    </row>
    <row r="1408" spans="1:7" ht="15" customHeight="1">
      <c r="A1408" s="151" t="s">
        <v>383</v>
      </c>
      <c r="B1408" s="152"/>
      <c r="C1408" s="12" t="s">
        <v>373</v>
      </c>
      <c r="D1408" s="12" t="s">
        <v>374</v>
      </c>
      <c r="E1408" s="12" t="s">
        <v>375</v>
      </c>
      <c r="F1408" s="12" t="s">
        <v>376</v>
      </c>
      <c r="G1408" s="12" t="s">
        <v>377</v>
      </c>
    </row>
    <row r="1409" spans="1:7" ht="15" customHeight="1">
      <c r="A1409" s="13" t="s">
        <v>452</v>
      </c>
      <c r="B1409" s="14" t="s">
        <v>453</v>
      </c>
      <c r="C1409" s="13" t="s">
        <v>380</v>
      </c>
      <c r="D1409" s="13" t="s">
        <v>427</v>
      </c>
      <c r="E1409" s="15">
        <v>8.0000000000000002E-3</v>
      </c>
      <c r="F1409" s="16">
        <v>55</v>
      </c>
      <c r="G1409" s="16">
        <v>0.44</v>
      </c>
    </row>
    <row r="1410" spans="1:7" ht="15" customHeight="1">
      <c r="A1410" s="13" t="s">
        <v>456</v>
      </c>
      <c r="B1410" s="14" t="s">
        <v>457</v>
      </c>
      <c r="C1410" s="13" t="s">
        <v>380</v>
      </c>
      <c r="D1410" s="13" t="s">
        <v>395</v>
      </c>
      <c r="E1410" s="15">
        <v>3.2</v>
      </c>
      <c r="F1410" s="16">
        <v>0.46</v>
      </c>
      <c r="G1410" s="16">
        <v>1.47</v>
      </c>
    </row>
    <row r="1411" spans="1:7" ht="15" customHeight="1">
      <c r="A1411" s="13" t="s">
        <v>909</v>
      </c>
      <c r="B1411" s="14" t="s">
        <v>910</v>
      </c>
      <c r="C1411" s="13" t="s">
        <v>380</v>
      </c>
      <c r="D1411" s="13" t="s">
        <v>386</v>
      </c>
      <c r="E1411" s="15">
        <v>1</v>
      </c>
      <c r="F1411" s="16">
        <v>342.4</v>
      </c>
      <c r="G1411" s="16">
        <v>342.4</v>
      </c>
    </row>
    <row r="1412" spans="1:7" ht="15" customHeight="1">
      <c r="A1412" s="11"/>
      <c r="B1412" s="11"/>
      <c r="C1412" s="11"/>
      <c r="D1412" s="11"/>
      <c r="E1412" s="153" t="s">
        <v>396</v>
      </c>
      <c r="F1412" s="154"/>
      <c r="G1412" s="17">
        <v>344.31</v>
      </c>
    </row>
    <row r="1413" spans="1:7" ht="15" customHeight="1">
      <c r="A1413" s="11"/>
      <c r="B1413" s="11"/>
      <c r="C1413" s="11"/>
      <c r="D1413" s="11"/>
      <c r="E1413" s="147" t="s">
        <v>397</v>
      </c>
      <c r="F1413" s="148"/>
      <c r="G1413" s="18">
        <v>370.13</v>
      </c>
    </row>
    <row r="1414" spans="1:7" ht="15" customHeight="1">
      <c r="A1414" s="11"/>
      <c r="B1414" s="11"/>
      <c r="C1414" s="11"/>
      <c r="D1414" s="11"/>
      <c r="E1414" s="147" t="s">
        <v>398</v>
      </c>
      <c r="F1414" s="148"/>
      <c r="G1414" s="18">
        <v>22</v>
      </c>
    </row>
    <row r="1415" spans="1:7" ht="15" customHeight="1">
      <c r="A1415" s="11"/>
      <c r="B1415" s="11"/>
      <c r="C1415" s="11"/>
      <c r="D1415" s="11"/>
      <c r="E1415" s="147" t="s">
        <v>399</v>
      </c>
      <c r="F1415" s="148"/>
      <c r="G1415" s="18">
        <v>392.13</v>
      </c>
    </row>
    <row r="1416" spans="1:7" ht="15" customHeight="1">
      <c r="A1416" s="11"/>
      <c r="B1416" s="11"/>
      <c r="C1416" s="11"/>
      <c r="D1416" s="11"/>
      <c r="E1416" s="147" t="s">
        <v>400</v>
      </c>
      <c r="F1416" s="148"/>
      <c r="G1416" s="18">
        <v>95.209199999999996</v>
      </c>
    </row>
    <row r="1417" spans="1:7" ht="15" customHeight="1">
      <c r="A1417" s="11"/>
      <c r="B1417" s="11"/>
      <c r="C1417" s="11"/>
      <c r="D1417" s="11"/>
      <c r="E1417" s="147" t="s">
        <v>401</v>
      </c>
      <c r="F1417" s="148"/>
      <c r="G1417" s="18">
        <v>487.34</v>
      </c>
    </row>
    <row r="1418" spans="1:7" ht="9.9499999999999993" customHeight="1">
      <c r="A1418" s="11"/>
      <c r="B1418" s="11"/>
      <c r="C1418" s="155" t="s">
        <v>370</v>
      </c>
      <c r="D1418" s="156"/>
      <c r="E1418" s="11"/>
      <c r="F1418" s="11"/>
      <c r="G1418" s="11"/>
    </row>
    <row r="1419" spans="1:7" ht="20.100000000000001" customHeight="1">
      <c r="A1419" s="149" t="s">
        <v>911</v>
      </c>
      <c r="B1419" s="150"/>
      <c r="C1419" s="150"/>
      <c r="D1419" s="150"/>
      <c r="E1419" s="150"/>
      <c r="F1419" s="150"/>
      <c r="G1419" s="150"/>
    </row>
    <row r="1420" spans="1:7" ht="15" customHeight="1">
      <c r="A1420" s="151" t="s">
        <v>372</v>
      </c>
      <c r="B1420" s="152"/>
      <c r="C1420" s="12" t="s">
        <v>373</v>
      </c>
      <c r="D1420" s="12" t="s">
        <v>374</v>
      </c>
      <c r="E1420" s="12" t="s">
        <v>375</v>
      </c>
      <c r="F1420" s="12" t="s">
        <v>376</v>
      </c>
      <c r="G1420" s="12" t="s">
        <v>377</v>
      </c>
    </row>
    <row r="1421" spans="1:7" ht="15" customHeight="1">
      <c r="A1421" s="13" t="s">
        <v>912</v>
      </c>
      <c r="B1421" s="14" t="s">
        <v>913</v>
      </c>
      <c r="C1421" s="13" t="s">
        <v>482</v>
      </c>
      <c r="D1421" s="13" t="s">
        <v>381</v>
      </c>
      <c r="E1421" s="15">
        <v>4.2</v>
      </c>
      <c r="F1421" s="16">
        <v>4.9000000000000004</v>
      </c>
      <c r="G1421" s="16">
        <v>20.58</v>
      </c>
    </row>
    <row r="1422" spans="1:7" ht="15" customHeight="1">
      <c r="A1422" s="13" t="s">
        <v>914</v>
      </c>
      <c r="B1422" s="14" t="s">
        <v>915</v>
      </c>
      <c r="C1422" s="13" t="s">
        <v>482</v>
      </c>
      <c r="D1422" s="13" t="s">
        <v>381</v>
      </c>
      <c r="E1422" s="15">
        <v>3.8</v>
      </c>
      <c r="F1422" s="16">
        <v>6.6</v>
      </c>
      <c r="G1422" s="16">
        <v>25.08</v>
      </c>
    </row>
    <row r="1423" spans="1:7" ht="15" customHeight="1">
      <c r="A1423" s="11"/>
      <c r="B1423" s="11"/>
      <c r="C1423" s="11"/>
      <c r="D1423" s="11"/>
      <c r="E1423" s="153" t="s">
        <v>382</v>
      </c>
      <c r="F1423" s="154"/>
      <c r="G1423" s="17">
        <v>45.66</v>
      </c>
    </row>
    <row r="1424" spans="1:7" ht="15" customHeight="1">
      <c r="A1424" s="151" t="s">
        <v>383</v>
      </c>
      <c r="B1424" s="152"/>
      <c r="C1424" s="12" t="s">
        <v>373</v>
      </c>
      <c r="D1424" s="12" t="s">
        <v>374</v>
      </c>
      <c r="E1424" s="12" t="s">
        <v>375</v>
      </c>
      <c r="F1424" s="12" t="s">
        <v>376</v>
      </c>
      <c r="G1424" s="12" t="s">
        <v>377</v>
      </c>
    </row>
    <row r="1425" spans="1:7" ht="15" customHeight="1">
      <c r="A1425" s="13" t="s">
        <v>916</v>
      </c>
      <c r="B1425" s="14" t="s">
        <v>917</v>
      </c>
      <c r="C1425" s="13" t="s">
        <v>482</v>
      </c>
      <c r="D1425" s="13" t="s">
        <v>395</v>
      </c>
      <c r="E1425" s="15">
        <v>0.6</v>
      </c>
      <c r="F1425" s="16">
        <v>1.6</v>
      </c>
      <c r="G1425" s="16">
        <v>0.96</v>
      </c>
    </row>
    <row r="1426" spans="1:7" ht="15" customHeight="1">
      <c r="A1426" s="13" t="s">
        <v>918</v>
      </c>
      <c r="B1426" s="14" t="s">
        <v>919</v>
      </c>
      <c r="C1426" s="13" t="s">
        <v>482</v>
      </c>
      <c r="D1426" s="13" t="s">
        <v>430</v>
      </c>
      <c r="E1426" s="15">
        <v>1</v>
      </c>
      <c r="F1426" s="16">
        <v>51.9</v>
      </c>
      <c r="G1426" s="16">
        <v>51.9</v>
      </c>
    </row>
    <row r="1427" spans="1:7" ht="15" customHeight="1">
      <c r="A1427" s="13" t="s">
        <v>920</v>
      </c>
      <c r="B1427" s="14" t="s">
        <v>921</v>
      </c>
      <c r="C1427" s="13" t="s">
        <v>482</v>
      </c>
      <c r="D1427" s="13" t="s">
        <v>430</v>
      </c>
      <c r="E1427" s="15">
        <v>2</v>
      </c>
      <c r="F1427" s="16">
        <v>6</v>
      </c>
      <c r="G1427" s="16">
        <v>12</v>
      </c>
    </row>
    <row r="1428" spans="1:7" ht="15" customHeight="1">
      <c r="A1428" s="13" t="s">
        <v>922</v>
      </c>
      <c r="B1428" s="14" t="s">
        <v>923</v>
      </c>
      <c r="C1428" s="13" t="s">
        <v>482</v>
      </c>
      <c r="D1428" s="13" t="s">
        <v>430</v>
      </c>
      <c r="E1428" s="15">
        <v>1</v>
      </c>
      <c r="F1428" s="16">
        <v>360</v>
      </c>
      <c r="G1428" s="16">
        <v>360</v>
      </c>
    </row>
    <row r="1429" spans="1:7" ht="15" customHeight="1">
      <c r="A1429" s="13" t="s">
        <v>924</v>
      </c>
      <c r="B1429" s="14" t="s">
        <v>925</v>
      </c>
      <c r="C1429" s="13" t="s">
        <v>482</v>
      </c>
      <c r="D1429" s="13" t="s">
        <v>430</v>
      </c>
      <c r="E1429" s="15">
        <v>1</v>
      </c>
      <c r="F1429" s="16">
        <v>15.48</v>
      </c>
      <c r="G1429" s="16">
        <v>15.48</v>
      </c>
    </row>
    <row r="1430" spans="1:7" ht="15" customHeight="1">
      <c r="A1430" s="11"/>
      <c r="B1430" s="11"/>
      <c r="C1430" s="11"/>
      <c r="D1430" s="11"/>
      <c r="E1430" s="153" t="s">
        <v>396</v>
      </c>
      <c r="F1430" s="154"/>
      <c r="G1430" s="17">
        <v>440.34</v>
      </c>
    </row>
    <row r="1431" spans="1:7" ht="15" customHeight="1">
      <c r="A1431" s="11"/>
      <c r="B1431" s="11"/>
      <c r="C1431" s="11"/>
      <c r="D1431" s="11"/>
      <c r="E1431" s="147" t="s">
        <v>397</v>
      </c>
      <c r="F1431" s="148"/>
      <c r="G1431" s="18">
        <v>486</v>
      </c>
    </row>
    <row r="1432" spans="1:7" ht="15" customHeight="1">
      <c r="A1432" s="11"/>
      <c r="B1432" s="11"/>
      <c r="C1432" s="11"/>
      <c r="D1432" s="11"/>
      <c r="E1432" s="147" t="s">
        <v>492</v>
      </c>
      <c r="F1432" s="148"/>
      <c r="G1432" s="18">
        <v>53.97</v>
      </c>
    </row>
    <row r="1433" spans="1:7" ht="15" customHeight="1">
      <c r="A1433" s="11"/>
      <c r="B1433" s="11"/>
      <c r="C1433" s="11"/>
      <c r="D1433" s="11"/>
      <c r="E1433" s="147" t="s">
        <v>399</v>
      </c>
      <c r="F1433" s="148"/>
      <c r="G1433" s="18">
        <v>539.97</v>
      </c>
    </row>
    <row r="1434" spans="1:7" ht="15" customHeight="1">
      <c r="A1434" s="11"/>
      <c r="B1434" s="11"/>
      <c r="C1434" s="11"/>
      <c r="D1434" s="11"/>
      <c r="E1434" s="147" t="s">
        <v>400</v>
      </c>
      <c r="F1434" s="148"/>
      <c r="G1434" s="18">
        <v>131.10470000000001</v>
      </c>
    </row>
    <row r="1435" spans="1:7" ht="15" customHeight="1">
      <c r="A1435" s="11"/>
      <c r="B1435" s="11"/>
      <c r="C1435" s="11"/>
      <c r="D1435" s="11"/>
      <c r="E1435" s="147" t="s">
        <v>401</v>
      </c>
      <c r="F1435" s="148"/>
      <c r="G1435" s="18">
        <v>671.07</v>
      </c>
    </row>
    <row r="1436" spans="1:7" ht="9.9499999999999993" customHeight="1">
      <c r="A1436" s="11"/>
      <c r="B1436" s="11"/>
      <c r="C1436" s="155" t="s">
        <v>370</v>
      </c>
      <c r="D1436" s="156"/>
      <c r="E1436" s="11"/>
      <c r="F1436" s="11"/>
      <c r="G1436" s="11"/>
    </row>
    <row r="1437" spans="1:7" ht="20.100000000000001" customHeight="1">
      <c r="A1437" s="149" t="s">
        <v>926</v>
      </c>
      <c r="B1437" s="150"/>
      <c r="C1437" s="150"/>
      <c r="D1437" s="150"/>
      <c r="E1437" s="150"/>
      <c r="F1437" s="150"/>
      <c r="G1437" s="150"/>
    </row>
    <row r="1438" spans="1:7" ht="15" customHeight="1">
      <c r="A1438" s="151" t="s">
        <v>383</v>
      </c>
      <c r="B1438" s="152"/>
      <c r="C1438" s="12" t="s">
        <v>373</v>
      </c>
      <c r="D1438" s="12" t="s">
        <v>374</v>
      </c>
      <c r="E1438" s="12" t="s">
        <v>375</v>
      </c>
      <c r="F1438" s="12" t="s">
        <v>376</v>
      </c>
      <c r="G1438" s="12" t="s">
        <v>377</v>
      </c>
    </row>
    <row r="1439" spans="1:7" ht="15" customHeight="1">
      <c r="A1439" s="13" t="s">
        <v>927</v>
      </c>
      <c r="B1439" s="14" t="s">
        <v>928</v>
      </c>
      <c r="C1439" s="13" t="s">
        <v>405</v>
      </c>
      <c r="D1439" s="13" t="s">
        <v>430</v>
      </c>
      <c r="E1439" s="15">
        <v>1</v>
      </c>
      <c r="F1439" s="16">
        <v>17.3</v>
      </c>
      <c r="G1439" s="16">
        <v>17.3</v>
      </c>
    </row>
    <row r="1440" spans="1:7" ht="15" customHeight="1">
      <c r="A1440" s="11"/>
      <c r="B1440" s="11"/>
      <c r="C1440" s="11"/>
      <c r="D1440" s="11"/>
      <c r="E1440" s="153" t="s">
        <v>396</v>
      </c>
      <c r="F1440" s="154"/>
      <c r="G1440" s="17">
        <v>17.3</v>
      </c>
    </row>
    <row r="1441" spans="1:7" ht="15" customHeight="1">
      <c r="A1441" s="151" t="s">
        <v>414</v>
      </c>
      <c r="B1441" s="152"/>
      <c r="C1441" s="12" t="s">
        <v>373</v>
      </c>
      <c r="D1441" s="12" t="s">
        <v>374</v>
      </c>
      <c r="E1441" s="12" t="s">
        <v>375</v>
      </c>
      <c r="F1441" s="12" t="s">
        <v>376</v>
      </c>
      <c r="G1441" s="12" t="s">
        <v>377</v>
      </c>
    </row>
    <row r="1442" spans="1:7" ht="20.100000000000001" customHeight="1">
      <c r="A1442" s="13" t="s">
        <v>929</v>
      </c>
      <c r="B1442" s="14" t="s">
        <v>930</v>
      </c>
      <c r="C1442" s="13" t="s">
        <v>405</v>
      </c>
      <c r="D1442" s="13" t="s">
        <v>430</v>
      </c>
      <c r="E1442" s="15">
        <v>1</v>
      </c>
      <c r="F1442" s="16">
        <v>2.13</v>
      </c>
      <c r="G1442" s="16">
        <v>2.13</v>
      </c>
    </row>
    <row r="1443" spans="1:7" ht="15" customHeight="1">
      <c r="A1443" s="11"/>
      <c r="B1443" s="11"/>
      <c r="C1443" s="11"/>
      <c r="D1443" s="11"/>
      <c r="E1443" s="153" t="s">
        <v>431</v>
      </c>
      <c r="F1443" s="154"/>
      <c r="G1443" s="17">
        <v>2.13</v>
      </c>
    </row>
    <row r="1444" spans="1:7" ht="15" customHeight="1">
      <c r="A1444" s="11"/>
      <c r="B1444" s="11"/>
      <c r="C1444" s="11"/>
      <c r="D1444" s="11"/>
      <c r="E1444" s="147" t="s">
        <v>397</v>
      </c>
      <c r="F1444" s="148"/>
      <c r="G1444" s="18">
        <v>19.43</v>
      </c>
    </row>
    <row r="1445" spans="1:7" ht="15" customHeight="1">
      <c r="A1445" s="11"/>
      <c r="B1445" s="11"/>
      <c r="C1445" s="11"/>
      <c r="D1445" s="11"/>
      <c r="E1445" s="147" t="s">
        <v>398</v>
      </c>
      <c r="F1445" s="148"/>
      <c r="G1445" s="18">
        <v>1</v>
      </c>
    </row>
    <row r="1446" spans="1:7" ht="15" customHeight="1">
      <c r="A1446" s="11"/>
      <c r="B1446" s="11"/>
      <c r="C1446" s="11"/>
      <c r="D1446" s="11"/>
      <c r="E1446" s="147" t="s">
        <v>399</v>
      </c>
      <c r="F1446" s="148"/>
      <c r="G1446" s="18">
        <v>20.43</v>
      </c>
    </row>
    <row r="1447" spans="1:7" ht="15" customHeight="1">
      <c r="A1447" s="11"/>
      <c r="B1447" s="11"/>
      <c r="C1447" s="11"/>
      <c r="D1447" s="11"/>
      <c r="E1447" s="147" t="s">
        <v>400</v>
      </c>
      <c r="F1447" s="148"/>
      <c r="G1447" s="18">
        <v>4.9603999999999999</v>
      </c>
    </row>
    <row r="1448" spans="1:7" ht="15" customHeight="1">
      <c r="A1448" s="11"/>
      <c r="B1448" s="11"/>
      <c r="C1448" s="11"/>
      <c r="D1448" s="11"/>
      <c r="E1448" s="147" t="s">
        <v>401</v>
      </c>
      <c r="F1448" s="148"/>
      <c r="G1448" s="18">
        <v>25.39</v>
      </c>
    </row>
    <row r="1449" spans="1:7" ht="9.9499999999999993" customHeight="1">
      <c r="A1449" s="11"/>
      <c r="B1449" s="11"/>
      <c r="C1449" s="155" t="s">
        <v>370</v>
      </c>
      <c r="D1449" s="156"/>
      <c r="E1449" s="11"/>
      <c r="F1449" s="11"/>
      <c r="G1449" s="11"/>
    </row>
    <row r="1450" spans="1:7" ht="20.100000000000001" customHeight="1">
      <c r="A1450" s="149" t="s">
        <v>931</v>
      </c>
      <c r="B1450" s="150"/>
      <c r="C1450" s="150"/>
      <c r="D1450" s="150"/>
      <c r="E1450" s="150"/>
      <c r="F1450" s="150"/>
      <c r="G1450" s="150"/>
    </row>
    <row r="1451" spans="1:7" ht="15" customHeight="1">
      <c r="A1451" s="151" t="s">
        <v>383</v>
      </c>
      <c r="B1451" s="152"/>
      <c r="C1451" s="12" t="s">
        <v>373</v>
      </c>
      <c r="D1451" s="12" t="s">
        <v>374</v>
      </c>
      <c r="E1451" s="12" t="s">
        <v>375</v>
      </c>
      <c r="F1451" s="12" t="s">
        <v>376</v>
      </c>
      <c r="G1451" s="12" t="s">
        <v>377</v>
      </c>
    </row>
    <row r="1452" spans="1:7" ht="15" customHeight="1">
      <c r="A1452" s="13" t="s">
        <v>932</v>
      </c>
      <c r="B1452" s="14" t="s">
        <v>933</v>
      </c>
      <c r="C1452" s="13" t="s">
        <v>405</v>
      </c>
      <c r="D1452" s="13" t="s">
        <v>430</v>
      </c>
      <c r="E1452" s="15">
        <v>1</v>
      </c>
      <c r="F1452" s="16">
        <v>13.55</v>
      </c>
      <c r="G1452" s="16">
        <v>13.55</v>
      </c>
    </row>
    <row r="1453" spans="1:7" ht="15" customHeight="1">
      <c r="A1453" s="11"/>
      <c r="B1453" s="11"/>
      <c r="C1453" s="11"/>
      <c r="D1453" s="11"/>
      <c r="E1453" s="153" t="s">
        <v>396</v>
      </c>
      <c r="F1453" s="154"/>
      <c r="G1453" s="17">
        <v>13.55</v>
      </c>
    </row>
    <row r="1454" spans="1:7" ht="15" customHeight="1">
      <c r="A1454" s="151" t="s">
        <v>414</v>
      </c>
      <c r="B1454" s="152"/>
      <c r="C1454" s="12" t="s">
        <v>373</v>
      </c>
      <c r="D1454" s="12" t="s">
        <v>374</v>
      </c>
      <c r="E1454" s="12" t="s">
        <v>375</v>
      </c>
      <c r="F1454" s="12" t="s">
        <v>376</v>
      </c>
      <c r="G1454" s="12" t="s">
        <v>377</v>
      </c>
    </row>
    <row r="1455" spans="1:7" ht="20.100000000000001" customHeight="1">
      <c r="A1455" s="13" t="s">
        <v>929</v>
      </c>
      <c r="B1455" s="14" t="s">
        <v>930</v>
      </c>
      <c r="C1455" s="13" t="s">
        <v>405</v>
      </c>
      <c r="D1455" s="13" t="s">
        <v>430</v>
      </c>
      <c r="E1455" s="15">
        <v>1</v>
      </c>
      <c r="F1455" s="16">
        <v>2.13</v>
      </c>
      <c r="G1455" s="16">
        <v>2.13</v>
      </c>
    </row>
    <row r="1456" spans="1:7" ht="15" customHeight="1">
      <c r="A1456" s="11"/>
      <c r="B1456" s="11"/>
      <c r="C1456" s="11"/>
      <c r="D1456" s="11"/>
      <c r="E1456" s="153" t="s">
        <v>431</v>
      </c>
      <c r="F1456" s="154"/>
      <c r="G1456" s="17">
        <v>2.13</v>
      </c>
    </row>
    <row r="1457" spans="1:7" ht="15" customHeight="1">
      <c r="A1457" s="11"/>
      <c r="B1457" s="11"/>
      <c r="C1457" s="11"/>
      <c r="D1457" s="11"/>
      <c r="E1457" s="147" t="s">
        <v>397</v>
      </c>
      <c r="F1457" s="148"/>
      <c r="G1457" s="18">
        <v>15.68</v>
      </c>
    </row>
    <row r="1458" spans="1:7" ht="15" customHeight="1">
      <c r="A1458" s="11"/>
      <c r="B1458" s="11"/>
      <c r="C1458" s="11"/>
      <c r="D1458" s="11"/>
      <c r="E1458" s="147" t="s">
        <v>398</v>
      </c>
      <c r="F1458" s="148"/>
      <c r="G1458" s="18">
        <v>1</v>
      </c>
    </row>
    <row r="1459" spans="1:7" ht="15" customHeight="1">
      <c r="A1459" s="11"/>
      <c r="B1459" s="11"/>
      <c r="C1459" s="11"/>
      <c r="D1459" s="11"/>
      <c r="E1459" s="147" t="s">
        <v>399</v>
      </c>
      <c r="F1459" s="148"/>
      <c r="G1459" s="18">
        <v>16.68</v>
      </c>
    </row>
    <row r="1460" spans="1:7" ht="15" customHeight="1">
      <c r="A1460" s="11"/>
      <c r="B1460" s="11"/>
      <c r="C1460" s="11"/>
      <c r="D1460" s="11"/>
      <c r="E1460" s="147" t="s">
        <v>400</v>
      </c>
      <c r="F1460" s="148"/>
      <c r="G1460" s="18">
        <v>4.0499000000000001</v>
      </c>
    </row>
    <row r="1461" spans="1:7" ht="15" customHeight="1">
      <c r="A1461" s="11"/>
      <c r="B1461" s="11"/>
      <c r="C1461" s="11"/>
      <c r="D1461" s="11"/>
      <c r="E1461" s="147" t="s">
        <v>401</v>
      </c>
      <c r="F1461" s="148"/>
      <c r="G1461" s="18">
        <v>20.73</v>
      </c>
    </row>
    <row r="1462" spans="1:7" ht="9.9499999999999993" customHeight="1">
      <c r="A1462" s="11"/>
      <c r="B1462" s="11"/>
      <c r="C1462" s="155" t="s">
        <v>370</v>
      </c>
      <c r="D1462" s="156"/>
      <c r="E1462" s="11"/>
      <c r="F1462" s="11"/>
      <c r="G1462" s="11"/>
    </row>
    <row r="1463" spans="1:7" ht="20.100000000000001" customHeight="1">
      <c r="A1463" s="149" t="s">
        <v>934</v>
      </c>
      <c r="B1463" s="150"/>
      <c r="C1463" s="150"/>
      <c r="D1463" s="150"/>
      <c r="E1463" s="150"/>
      <c r="F1463" s="150"/>
      <c r="G1463" s="150"/>
    </row>
    <row r="1464" spans="1:7" ht="15" customHeight="1">
      <c r="A1464" s="151" t="s">
        <v>372</v>
      </c>
      <c r="B1464" s="152"/>
      <c r="C1464" s="12" t="s">
        <v>373</v>
      </c>
      <c r="D1464" s="12" t="s">
        <v>374</v>
      </c>
      <c r="E1464" s="12" t="s">
        <v>375</v>
      </c>
      <c r="F1464" s="12" t="s">
        <v>376</v>
      </c>
      <c r="G1464" s="12" t="s">
        <v>377</v>
      </c>
    </row>
    <row r="1465" spans="1:7" ht="15" customHeight="1">
      <c r="A1465" s="13" t="s">
        <v>935</v>
      </c>
      <c r="B1465" s="14" t="s">
        <v>936</v>
      </c>
      <c r="C1465" s="13" t="s">
        <v>380</v>
      </c>
      <c r="D1465" s="13" t="s">
        <v>381</v>
      </c>
      <c r="E1465" s="15">
        <v>1</v>
      </c>
      <c r="F1465" s="16">
        <v>9.6273999999999997</v>
      </c>
      <c r="G1465" s="16">
        <v>9.6300000000000008</v>
      </c>
    </row>
    <row r="1466" spans="1:7" ht="15" customHeight="1">
      <c r="A1466" s="13" t="s">
        <v>438</v>
      </c>
      <c r="B1466" s="14" t="s">
        <v>439</v>
      </c>
      <c r="C1466" s="13" t="s">
        <v>380</v>
      </c>
      <c r="D1466" s="13" t="s">
        <v>381</v>
      </c>
      <c r="E1466" s="15">
        <v>0.25</v>
      </c>
      <c r="F1466" s="16">
        <v>9.6273999999999997</v>
      </c>
      <c r="G1466" s="16">
        <v>2.41</v>
      </c>
    </row>
    <row r="1467" spans="1:7" ht="15" customHeight="1">
      <c r="A1467" s="13" t="s">
        <v>378</v>
      </c>
      <c r="B1467" s="14" t="s">
        <v>379</v>
      </c>
      <c r="C1467" s="13" t="s">
        <v>380</v>
      </c>
      <c r="D1467" s="13" t="s">
        <v>381</v>
      </c>
      <c r="E1467" s="15">
        <v>0.35</v>
      </c>
      <c r="F1467" s="16">
        <v>7.1327999999999996</v>
      </c>
      <c r="G1467" s="16">
        <v>2.5</v>
      </c>
    </row>
    <row r="1468" spans="1:7" ht="15" customHeight="1">
      <c r="A1468" s="11"/>
      <c r="B1468" s="11"/>
      <c r="C1468" s="11"/>
      <c r="D1468" s="11"/>
      <c r="E1468" s="153" t="s">
        <v>382</v>
      </c>
      <c r="F1468" s="154"/>
      <c r="G1468" s="17">
        <v>14.54</v>
      </c>
    </row>
    <row r="1469" spans="1:7" ht="15" customHeight="1">
      <c r="A1469" s="151" t="s">
        <v>383</v>
      </c>
      <c r="B1469" s="152"/>
      <c r="C1469" s="12" t="s">
        <v>373</v>
      </c>
      <c r="D1469" s="12" t="s">
        <v>374</v>
      </c>
      <c r="E1469" s="12" t="s">
        <v>375</v>
      </c>
      <c r="F1469" s="12" t="s">
        <v>376</v>
      </c>
      <c r="G1469" s="12" t="s">
        <v>377</v>
      </c>
    </row>
    <row r="1470" spans="1:7" ht="15" customHeight="1">
      <c r="A1470" s="13" t="s">
        <v>452</v>
      </c>
      <c r="B1470" s="14" t="s">
        <v>453</v>
      </c>
      <c r="C1470" s="13" t="s">
        <v>380</v>
      </c>
      <c r="D1470" s="13" t="s">
        <v>427</v>
      </c>
      <c r="E1470" s="15">
        <v>5.0000000000000001E-4</v>
      </c>
      <c r="F1470" s="16">
        <v>55</v>
      </c>
      <c r="G1470" s="16">
        <v>0.03</v>
      </c>
    </row>
    <row r="1471" spans="1:7" ht="15" customHeight="1">
      <c r="A1471" s="13" t="s">
        <v>456</v>
      </c>
      <c r="B1471" s="14" t="s">
        <v>457</v>
      </c>
      <c r="C1471" s="13" t="s">
        <v>380</v>
      </c>
      <c r="D1471" s="13" t="s">
        <v>395</v>
      </c>
      <c r="E1471" s="15">
        <v>0.15</v>
      </c>
      <c r="F1471" s="16">
        <v>0.46</v>
      </c>
      <c r="G1471" s="16">
        <v>7.0000000000000007E-2</v>
      </c>
    </row>
    <row r="1472" spans="1:7" ht="15" customHeight="1">
      <c r="A1472" s="13" t="s">
        <v>937</v>
      </c>
      <c r="B1472" s="14" t="s">
        <v>938</v>
      </c>
      <c r="C1472" s="13" t="s">
        <v>380</v>
      </c>
      <c r="D1472" s="13" t="s">
        <v>392</v>
      </c>
      <c r="E1472" s="15">
        <v>1</v>
      </c>
      <c r="F1472" s="16">
        <v>176</v>
      </c>
      <c r="G1472" s="16">
        <v>176</v>
      </c>
    </row>
    <row r="1473" spans="1:7" ht="15" customHeight="1">
      <c r="A1473" s="11"/>
      <c r="B1473" s="11"/>
      <c r="C1473" s="11"/>
      <c r="D1473" s="11"/>
      <c r="E1473" s="153" t="s">
        <v>396</v>
      </c>
      <c r="F1473" s="154"/>
      <c r="G1473" s="17">
        <v>176.1</v>
      </c>
    </row>
    <row r="1474" spans="1:7" ht="15" customHeight="1">
      <c r="A1474" s="11"/>
      <c r="B1474" s="11"/>
      <c r="C1474" s="11"/>
      <c r="D1474" s="11"/>
      <c r="E1474" s="147" t="s">
        <v>397</v>
      </c>
      <c r="F1474" s="148"/>
      <c r="G1474" s="18">
        <v>190.64</v>
      </c>
    </row>
    <row r="1475" spans="1:7" ht="15" customHeight="1">
      <c r="A1475" s="11"/>
      <c r="B1475" s="11"/>
      <c r="C1475" s="11"/>
      <c r="D1475" s="11"/>
      <c r="E1475" s="147" t="s">
        <v>398</v>
      </c>
      <c r="F1475" s="148"/>
      <c r="G1475" s="18">
        <v>12.37</v>
      </c>
    </row>
    <row r="1476" spans="1:7" ht="15" customHeight="1">
      <c r="A1476" s="11"/>
      <c r="B1476" s="11"/>
      <c r="C1476" s="11"/>
      <c r="D1476" s="11"/>
      <c r="E1476" s="147" t="s">
        <v>399</v>
      </c>
      <c r="F1476" s="148"/>
      <c r="G1476" s="18">
        <v>203.01</v>
      </c>
    </row>
    <row r="1477" spans="1:7" ht="15" customHeight="1">
      <c r="A1477" s="11"/>
      <c r="B1477" s="11"/>
      <c r="C1477" s="11"/>
      <c r="D1477" s="11"/>
      <c r="E1477" s="147" t="s">
        <v>400</v>
      </c>
      <c r="F1477" s="148"/>
      <c r="G1477" s="18">
        <v>49.290799999999997</v>
      </c>
    </row>
    <row r="1478" spans="1:7" ht="15" customHeight="1">
      <c r="A1478" s="11"/>
      <c r="B1478" s="11"/>
      <c r="C1478" s="11"/>
      <c r="D1478" s="11"/>
      <c r="E1478" s="147" t="s">
        <v>401</v>
      </c>
      <c r="F1478" s="148"/>
      <c r="G1478" s="18">
        <v>252.3</v>
      </c>
    </row>
    <row r="1479" spans="1:7" ht="9.9499999999999993" customHeight="1">
      <c r="A1479" s="11"/>
      <c r="B1479" s="11"/>
      <c r="C1479" s="155" t="s">
        <v>370</v>
      </c>
      <c r="D1479" s="156"/>
      <c r="E1479" s="11"/>
      <c r="F1479" s="11"/>
      <c r="G1479" s="11"/>
    </row>
    <row r="1480" spans="1:7" ht="20.100000000000001" customHeight="1">
      <c r="A1480" s="157" t="s">
        <v>1042</v>
      </c>
      <c r="B1480" s="150"/>
      <c r="C1480" s="150"/>
      <c r="D1480" s="150"/>
      <c r="E1480" s="150"/>
      <c r="F1480" s="150"/>
      <c r="G1480" s="150"/>
    </row>
    <row r="1481" spans="1:7" ht="15" customHeight="1">
      <c r="A1481" s="151" t="s">
        <v>372</v>
      </c>
      <c r="B1481" s="152"/>
      <c r="C1481" s="12" t="s">
        <v>373</v>
      </c>
      <c r="D1481" s="12" t="s">
        <v>374</v>
      </c>
      <c r="E1481" s="12" t="s">
        <v>375</v>
      </c>
      <c r="F1481" s="12" t="s">
        <v>376</v>
      </c>
      <c r="G1481" s="12" t="s">
        <v>377</v>
      </c>
    </row>
    <row r="1482" spans="1:7" ht="15" customHeight="1">
      <c r="A1482" s="13" t="s">
        <v>745</v>
      </c>
      <c r="B1482" s="14" t="s">
        <v>746</v>
      </c>
      <c r="C1482" s="13" t="s">
        <v>380</v>
      </c>
      <c r="D1482" s="13" t="s">
        <v>381</v>
      </c>
      <c r="E1482" s="15">
        <v>3</v>
      </c>
      <c r="F1482" s="16">
        <v>7.8402000000000003</v>
      </c>
      <c r="G1482" s="16">
        <f>F1482*E1482</f>
        <v>23.520600000000002</v>
      </c>
    </row>
    <row r="1483" spans="1:7" ht="15" customHeight="1">
      <c r="A1483" s="13" t="s">
        <v>747</v>
      </c>
      <c r="B1483" s="14" t="s">
        <v>748</v>
      </c>
      <c r="C1483" s="13" t="s">
        <v>380</v>
      </c>
      <c r="D1483" s="13" t="s">
        <v>381</v>
      </c>
      <c r="E1483" s="15">
        <v>3</v>
      </c>
      <c r="F1483" s="16">
        <v>9.6273999999999997</v>
      </c>
      <c r="G1483" s="16">
        <f>F1483*E1483</f>
        <v>28.882199999999997</v>
      </c>
    </row>
    <row r="1484" spans="1:7" ht="15" customHeight="1">
      <c r="A1484" s="19"/>
      <c r="B1484" s="19"/>
      <c r="C1484" s="19"/>
      <c r="D1484" s="19"/>
      <c r="E1484" s="153" t="s">
        <v>382</v>
      </c>
      <c r="F1484" s="154"/>
      <c r="G1484" s="17">
        <f>SUM(G1482:G1483)</f>
        <v>52.402799999999999</v>
      </c>
    </row>
    <row r="1485" spans="1:7" ht="15" customHeight="1">
      <c r="A1485" s="151" t="s">
        <v>414</v>
      </c>
      <c r="B1485" s="152"/>
      <c r="C1485" s="12" t="s">
        <v>373</v>
      </c>
      <c r="D1485" s="12" t="s">
        <v>374</v>
      </c>
      <c r="E1485" s="12" t="s">
        <v>375</v>
      </c>
      <c r="F1485" s="12" t="s">
        <v>376</v>
      </c>
      <c r="G1485" s="12" t="s">
        <v>377</v>
      </c>
    </row>
    <row r="1486" spans="1:7" ht="27.95" customHeight="1">
      <c r="A1486" s="13" t="s">
        <v>939</v>
      </c>
      <c r="B1486" s="14" t="s">
        <v>940</v>
      </c>
      <c r="C1486" s="13" t="s">
        <v>405</v>
      </c>
      <c r="D1486" s="13" t="s">
        <v>430</v>
      </c>
      <c r="E1486" s="15">
        <v>1</v>
      </c>
      <c r="F1486" s="16">
        <v>16.5</v>
      </c>
      <c r="G1486" s="16">
        <v>16.5</v>
      </c>
    </row>
    <row r="1487" spans="1:7" ht="20.100000000000001" customHeight="1">
      <c r="A1487" s="13" t="s">
        <v>941</v>
      </c>
      <c r="B1487" s="88" t="s">
        <v>1040</v>
      </c>
      <c r="C1487" s="13" t="s">
        <v>405</v>
      </c>
      <c r="D1487" s="13" t="s">
        <v>430</v>
      </c>
      <c r="E1487" s="15">
        <v>1</v>
      </c>
      <c r="F1487" s="16">
        <v>101.94</v>
      </c>
      <c r="G1487" s="16">
        <v>101.94</v>
      </c>
    </row>
    <row r="1488" spans="1:7" ht="15" customHeight="1">
      <c r="A1488" s="11"/>
      <c r="B1488" s="11"/>
      <c r="C1488" s="11"/>
      <c r="D1488" s="11"/>
      <c r="E1488" s="153" t="s">
        <v>431</v>
      </c>
      <c r="F1488" s="154"/>
      <c r="G1488" s="17">
        <f>SUM(G1486:G1487)</f>
        <v>118.44</v>
      </c>
    </row>
    <row r="1489" spans="1:7" ht="15" customHeight="1">
      <c r="A1489" s="11"/>
      <c r="B1489" s="11"/>
      <c r="C1489" s="11"/>
      <c r="D1489" s="11"/>
      <c r="E1489" s="147" t="s">
        <v>397</v>
      </c>
      <c r="F1489" s="148"/>
      <c r="G1489" s="18">
        <f>G1488+G1484</f>
        <v>170.84280000000001</v>
      </c>
    </row>
    <row r="1490" spans="1:7" ht="15" customHeight="1">
      <c r="A1490" s="11"/>
      <c r="B1490" s="11"/>
      <c r="C1490" s="11"/>
      <c r="D1490" s="11"/>
      <c r="E1490" s="147" t="s">
        <v>398</v>
      </c>
      <c r="F1490" s="148"/>
      <c r="G1490" s="18">
        <f>G1489*0.0921701793860826</f>
        <v>15.746611522820634</v>
      </c>
    </row>
    <row r="1491" spans="1:7" ht="15" customHeight="1">
      <c r="A1491" s="11"/>
      <c r="B1491" s="11"/>
      <c r="C1491" s="11"/>
      <c r="D1491" s="11"/>
      <c r="E1491" s="147" t="s">
        <v>399</v>
      </c>
      <c r="F1491" s="148"/>
      <c r="G1491" s="18">
        <f>G1490+G1489</f>
        <v>186.58941152282065</v>
      </c>
    </row>
    <row r="1492" spans="1:7" ht="15" customHeight="1">
      <c r="A1492" s="11"/>
      <c r="B1492" s="11"/>
      <c r="C1492" s="11"/>
      <c r="D1492" s="11"/>
      <c r="E1492" s="147" t="s">
        <v>400</v>
      </c>
      <c r="F1492" s="148"/>
      <c r="G1492" s="18">
        <f>G1491*0.2428</f>
        <v>45.303909117740851</v>
      </c>
    </row>
    <row r="1493" spans="1:7" ht="15" customHeight="1">
      <c r="A1493" s="11"/>
      <c r="B1493" s="11"/>
      <c r="C1493" s="11"/>
      <c r="D1493" s="11"/>
      <c r="E1493" s="147" t="s">
        <v>401</v>
      </c>
      <c r="F1493" s="148"/>
      <c r="G1493" s="18">
        <f>G1491+G1492</f>
        <v>231.89332064056151</v>
      </c>
    </row>
    <row r="1494" spans="1:7" ht="9.9499999999999993" customHeight="1">
      <c r="A1494" s="11"/>
      <c r="B1494" s="11"/>
      <c r="C1494" s="155" t="s">
        <v>370</v>
      </c>
      <c r="D1494" s="156"/>
      <c r="E1494" s="11"/>
      <c r="F1494" s="11"/>
      <c r="G1494" s="11"/>
    </row>
    <row r="1495" spans="1:7" ht="20.100000000000001" customHeight="1">
      <c r="A1495" s="157" t="s">
        <v>1043</v>
      </c>
      <c r="B1495" s="150"/>
      <c r="C1495" s="150"/>
      <c r="D1495" s="150"/>
      <c r="E1495" s="150"/>
      <c r="F1495" s="150"/>
      <c r="G1495" s="150"/>
    </row>
    <row r="1496" spans="1:7" ht="15" customHeight="1">
      <c r="A1496" s="151" t="s">
        <v>372</v>
      </c>
      <c r="B1496" s="152"/>
      <c r="C1496" s="12" t="s">
        <v>373</v>
      </c>
      <c r="D1496" s="12" t="s">
        <v>374</v>
      </c>
      <c r="E1496" s="12" t="s">
        <v>375</v>
      </c>
      <c r="F1496" s="12" t="s">
        <v>376</v>
      </c>
      <c r="G1496" s="12" t="s">
        <v>377</v>
      </c>
    </row>
    <row r="1497" spans="1:7" ht="15" customHeight="1">
      <c r="A1497" s="13" t="s">
        <v>745</v>
      </c>
      <c r="B1497" s="14" t="s">
        <v>746</v>
      </c>
      <c r="C1497" s="13" t="s">
        <v>380</v>
      </c>
      <c r="D1497" s="13" t="s">
        <v>381</v>
      </c>
      <c r="E1497" s="15">
        <v>3</v>
      </c>
      <c r="F1497" s="16">
        <v>7.8402000000000003</v>
      </c>
      <c r="G1497" s="16">
        <f>F1497*E1497</f>
        <v>23.520600000000002</v>
      </c>
    </row>
    <row r="1498" spans="1:7" ht="15" customHeight="1">
      <c r="A1498" s="13" t="s">
        <v>747</v>
      </c>
      <c r="B1498" s="14" t="s">
        <v>748</v>
      </c>
      <c r="C1498" s="13" t="s">
        <v>380</v>
      </c>
      <c r="D1498" s="13" t="s">
        <v>381</v>
      </c>
      <c r="E1498" s="15">
        <v>3</v>
      </c>
      <c r="F1498" s="16">
        <v>9.6273999999999997</v>
      </c>
      <c r="G1498" s="16">
        <f>F1498*E1498</f>
        <v>28.882199999999997</v>
      </c>
    </row>
    <row r="1499" spans="1:7" ht="15" customHeight="1">
      <c r="A1499" s="19"/>
      <c r="B1499" s="19"/>
      <c r="C1499" s="19"/>
      <c r="D1499" s="19"/>
      <c r="E1499" s="153" t="s">
        <v>382</v>
      </c>
      <c r="F1499" s="154"/>
      <c r="G1499" s="17">
        <f>SUM(G1497:G1498)</f>
        <v>52.402799999999999</v>
      </c>
    </row>
    <row r="1500" spans="1:7" ht="15" customHeight="1">
      <c r="A1500" s="151" t="s">
        <v>383</v>
      </c>
      <c r="B1500" s="152"/>
      <c r="C1500" s="12" t="s">
        <v>373</v>
      </c>
      <c r="D1500" s="12" t="s">
        <v>374</v>
      </c>
      <c r="E1500" s="12" t="s">
        <v>375</v>
      </c>
      <c r="F1500" s="12" t="s">
        <v>376</v>
      </c>
      <c r="G1500" s="12" t="s">
        <v>377</v>
      </c>
    </row>
    <row r="1501" spans="1:7" ht="15" customHeight="1">
      <c r="A1501" s="13" t="s">
        <v>942</v>
      </c>
      <c r="B1501" s="14" t="s">
        <v>943</v>
      </c>
      <c r="C1501" s="13" t="s">
        <v>482</v>
      </c>
      <c r="D1501" s="13" t="s">
        <v>430</v>
      </c>
      <c r="E1501" s="15">
        <v>1</v>
      </c>
      <c r="F1501" s="16">
        <v>150</v>
      </c>
      <c r="G1501" s="16">
        <f>F1501</f>
        <v>150</v>
      </c>
    </row>
    <row r="1502" spans="1:7" ht="15" customHeight="1">
      <c r="A1502" s="11"/>
      <c r="B1502" s="11"/>
      <c r="C1502" s="11"/>
      <c r="D1502" s="11"/>
      <c r="E1502" s="153" t="s">
        <v>396</v>
      </c>
      <c r="F1502" s="154"/>
      <c r="G1502" s="17">
        <f>SUM(G1501)</f>
        <v>150</v>
      </c>
    </row>
    <row r="1503" spans="1:7" ht="15" customHeight="1">
      <c r="A1503" s="11"/>
      <c r="B1503" s="11"/>
      <c r="C1503" s="11"/>
      <c r="D1503" s="11"/>
      <c r="E1503" s="147" t="s">
        <v>397</v>
      </c>
      <c r="F1503" s="148"/>
      <c r="G1503" s="18">
        <f>G1502+G1499</f>
        <v>202.40280000000001</v>
      </c>
    </row>
    <row r="1504" spans="1:7" ht="15" customHeight="1">
      <c r="A1504" s="11"/>
      <c r="B1504" s="11"/>
      <c r="C1504" s="11"/>
      <c r="D1504" s="11"/>
      <c r="E1504" s="147" t="s">
        <v>545</v>
      </c>
      <c r="F1504" s="148"/>
      <c r="G1504" s="18">
        <f>G1499*0.852</f>
        <v>44.6471856</v>
      </c>
    </row>
    <row r="1505" spans="1:7" ht="15" customHeight="1">
      <c r="A1505" s="11"/>
      <c r="B1505" s="11"/>
      <c r="C1505" s="11"/>
      <c r="D1505" s="11"/>
      <c r="E1505" s="147" t="s">
        <v>399</v>
      </c>
      <c r="F1505" s="148"/>
      <c r="G1505" s="18">
        <f>G1504+G1503</f>
        <v>247.04998560000001</v>
      </c>
    </row>
    <row r="1506" spans="1:7" ht="15" customHeight="1">
      <c r="A1506" s="11"/>
      <c r="B1506" s="11"/>
      <c r="C1506" s="11"/>
      <c r="D1506" s="11"/>
      <c r="E1506" s="147" t="s">
        <v>400</v>
      </c>
      <c r="F1506" s="148"/>
      <c r="G1506" s="18">
        <f>G1505*0.2428</f>
        <v>59.983736503679999</v>
      </c>
    </row>
    <row r="1507" spans="1:7" ht="15" customHeight="1">
      <c r="A1507" s="11"/>
      <c r="B1507" s="11"/>
      <c r="C1507" s="11"/>
      <c r="D1507" s="11"/>
      <c r="E1507" s="147" t="s">
        <v>401</v>
      </c>
      <c r="F1507" s="148"/>
      <c r="G1507" s="18">
        <f>G1505+G1506</f>
        <v>307.03372210368002</v>
      </c>
    </row>
    <row r="1508" spans="1:7" ht="9.9499999999999993" customHeight="1">
      <c r="A1508" s="11"/>
      <c r="B1508" s="11"/>
      <c r="C1508" s="155" t="s">
        <v>370</v>
      </c>
      <c r="D1508" s="156"/>
      <c r="E1508" s="11"/>
      <c r="F1508" s="11"/>
      <c r="G1508" s="11"/>
    </row>
    <row r="1509" spans="1:7" ht="20.100000000000001" customHeight="1">
      <c r="A1509" s="149" t="s">
        <v>944</v>
      </c>
      <c r="B1509" s="150"/>
      <c r="C1509" s="150"/>
      <c r="D1509" s="150"/>
      <c r="E1509" s="150"/>
      <c r="F1509" s="150"/>
      <c r="G1509" s="150"/>
    </row>
    <row r="1510" spans="1:7" ht="15" customHeight="1">
      <c r="A1510" s="151" t="s">
        <v>372</v>
      </c>
      <c r="B1510" s="152"/>
      <c r="C1510" s="12" t="s">
        <v>373</v>
      </c>
      <c r="D1510" s="12" t="s">
        <v>374</v>
      </c>
      <c r="E1510" s="12" t="s">
        <v>375</v>
      </c>
      <c r="F1510" s="12" t="s">
        <v>376</v>
      </c>
      <c r="G1510" s="12" t="s">
        <v>377</v>
      </c>
    </row>
    <row r="1511" spans="1:7" ht="15" customHeight="1">
      <c r="A1511" s="13" t="s">
        <v>745</v>
      </c>
      <c r="B1511" s="14" t="s">
        <v>746</v>
      </c>
      <c r="C1511" s="13" t="s">
        <v>380</v>
      </c>
      <c r="D1511" s="13" t="s">
        <v>381</v>
      </c>
      <c r="E1511" s="15">
        <v>0.5</v>
      </c>
      <c r="F1511" s="16">
        <v>7.8402000000000003</v>
      </c>
      <c r="G1511" s="16">
        <v>3.92</v>
      </c>
    </row>
    <row r="1512" spans="1:7" ht="15" customHeight="1">
      <c r="A1512" s="13" t="s">
        <v>747</v>
      </c>
      <c r="B1512" s="14" t="s">
        <v>748</v>
      </c>
      <c r="C1512" s="13" t="s">
        <v>380</v>
      </c>
      <c r="D1512" s="13" t="s">
        <v>381</v>
      </c>
      <c r="E1512" s="15">
        <v>0.5</v>
      </c>
      <c r="F1512" s="16">
        <v>9.6273999999999997</v>
      </c>
      <c r="G1512" s="16">
        <v>4.8099999999999996</v>
      </c>
    </row>
    <row r="1513" spans="1:7" ht="15" customHeight="1">
      <c r="A1513" s="11"/>
      <c r="B1513" s="11"/>
      <c r="C1513" s="11"/>
      <c r="D1513" s="11"/>
      <c r="E1513" s="153" t="s">
        <v>382</v>
      </c>
      <c r="F1513" s="154"/>
      <c r="G1513" s="17">
        <v>8.73</v>
      </c>
    </row>
    <row r="1514" spans="1:7" ht="15" customHeight="1">
      <c r="A1514" s="151" t="s">
        <v>383</v>
      </c>
      <c r="B1514" s="152"/>
      <c r="C1514" s="12" t="s">
        <v>373</v>
      </c>
      <c r="D1514" s="12" t="s">
        <v>374</v>
      </c>
      <c r="E1514" s="12" t="s">
        <v>375</v>
      </c>
      <c r="F1514" s="12" t="s">
        <v>376</v>
      </c>
      <c r="G1514" s="12" t="s">
        <v>377</v>
      </c>
    </row>
    <row r="1515" spans="1:7" ht="15" customHeight="1">
      <c r="A1515" s="13" t="s">
        <v>945</v>
      </c>
      <c r="B1515" s="14" t="s">
        <v>946</v>
      </c>
      <c r="C1515" s="13" t="s">
        <v>380</v>
      </c>
      <c r="D1515" s="13" t="s">
        <v>430</v>
      </c>
      <c r="E1515" s="15">
        <v>1</v>
      </c>
      <c r="F1515" s="16">
        <v>46.2</v>
      </c>
      <c r="G1515" s="16">
        <v>46.2</v>
      </c>
    </row>
    <row r="1516" spans="1:7" ht="15" customHeight="1">
      <c r="A1516" s="13" t="s">
        <v>749</v>
      </c>
      <c r="B1516" s="14" t="s">
        <v>750</v>
      </c>
      <c r="C1516" s="13" t="s">
        <v>380</v>
      </c>
      <c r="D1516" s="13" t="s">
        <v>392</v>
      </c>
      <c r="E1516" s="15">
        <v>0.28000000000000003</v>
      </c>
      <c r="F1516" s="16">
        <v>0.2</v>
      </c>
      <c r="G1516" s="16">
        <v>0.06</v>
      </c>
    </row>
    <row r="1517" spans="1:7" ht="15" customHeight="1">
      <c r="A1517" s="11"/>
      <c r="B1517" s="11"/>
      <c r="C1517" s="11"/>
      <c r="D1517" s="11"/>
      <c r="E1517" s="153" t="s">
        <v>396</v>
      </c>
      <c r="F1517" s="154"/>
      <c r="G1517" s="17">
        <v>46.26</v>
      </c>
    </row>
    <row r="1518" spans="1:7" ht="15" customHeight="1">
      <c r="A1518" s="11"/>
      <c r="B1518" s="11"/>
      <c r="C1518" s="11"/>
      <c r="D1518" s="11"/>
      <c r="E1518" s="147" t="s">
        <v>397</v>
      </c>
      <c r="F1518" s="148"/>
      <c r="G1518" s="18">
        <v>54.99</v>
      </c>
    </row>
    <row r="1519" spans="1:7" ht="15" customHeight="1">
      <c r="A1519" s="11"/>
      <c r="B1519" s="11"/>
      <c r="C1519" s="11"/>
      <c r="D1519" s="11"/>
      <c r="E1519" s="147" t="s">
        <v>398</v>
      </c>
      <c r="F1519" s="148"/>
      <c r="G1519" s="18">
        <f>G1513*0.852</f>
        <v>7.4379600000000003</v>
      </c>
    </row>
    <row r="1520" spans="1:7" ht="15" customHeight="1">
      <c r="A1520" s="11"/>
      <c r="B1520" s="11"/>
      <c r="C1520" s="11"/>
      <c r="D1520" s="11"/>
      <c r="E1520" s="147" t="s">
        <v>399</v>
      </c>
      <c r="F1520" s="148"/>
      <c r="G1520" s="18">
        <v>62.43</v>
      </c>
    </row>
    <row r="1521" spans="1:7" ht="15" customHeight="1">
      <c r="A1521" s="11"/>
      <c r="B1521" s="11"/>
      <c r="C1521" s="11"/>
      <c r="D1521" s="11"/>
      <c r="E1521" s="147" t="s">
        <v>400</v>
      </c>
      <c r="F1521" s="148"/>
      <c r="G1521" s="18">
        <v>15.157999999999999</v>
      </c>
    </row>
    <row r="1522" spans="1:7" ht="15" customHeight="1">
      <c r="A1522" s="11"/>
      <c r="B1522" s="11"/>
      <c r="C1522" s="11"/>
      <c r="D1522" s="11"/>
      <c r="E1522" s="147" t="s">
        <v>401</v>
      </c>
      <c r="F1522" s="148"/>
      <c r="G1522" s="18">
        <v>77.59</v>
      </c>
    </row>
    <row r="1523" spans="1:7" ht="9.9499999999999993" customHeight="1">
      <c r="A1523" s="11"/>
      <c r="B1523" s="11"/>
      <c r="C1523" s="155" t="s">
        <v>370</v>
      </c>
      <c r="D1523" s="156"/>
      <c r="E1523" s="11"/>
      <c r="F1523" s="11"/>
      <c r="G1523" s="11"/>
    </row>
    <row r="1524" spans="1:7" ht="20.100000000000001" customHeight="1">
      <c r="A1524" s="149" t="s">
        <v>947</v>
      </c>
      <c r="B1524" s="150"/>
      <c r="C1524" s="150"/>
      <c r="D1524" s="150"/>
      <c r="E1524" s="150"/>
      <c r="F1524" s="150"/>
      <c r="G1524" s="150"/>
    </row>
    <row r="1525" spans="1:7" ht="15" customHeight="1">
      <c r="A1525" s="151" t="s">
        <v>372</v>
      </c>
      <c r="B1525" s="152"/>
      <c r="C1525" s="12" t="s">
        <v>373</v>
      </c>
      <c r="D1525" s="12" t="s">
        <v>374</v>
      </c>
      <c r="E1525" s="12" t="s">
        <v>375</v>
      </c>
      <c r="F1525" s="12" t="s">
        <v>376</v>
      </c>
      <c r="G1525" s="12" t="s">
        <v>377</v>
      </c>
    </row>
    <row r="1526" spans="1:7" ht="15" customHeight="1">
      <c r="A1526" s="13" t="s">
        <v>745</v>
      </c>
      <c r="B1526" s="14" t="s">
        <v>746</v>
      </c>
      <c r="C1526" s="13" t="s">
        <v>380</v>
      </c>
      <c r="D1526" s="13" t="s">
        <v>381</v>
      </c>
      <c r="E1526" s="15">
        <v>0.5</v>
      </c>
      <c r="F1526" s="16">
        <v>7.8402000000000003</v>
      </c>
      <c r="G1526" s="16">
        <v>3.92</v>
      </c>
    </row>
    <row r="1527" spans="1:7" ht="15" customHeight="1">
      <c r="A1527" s="13" t="s">
        <v>747</v>
      </c>
      <c r="B1527" s="14" t="s">
        <v>748</v>
      </c>
      <c r="C1527" s="13" t="s">
        <v>380</v>
      </c>
      <c r="D1527" s="13" t="s">
        <v>381</v>
      </c>
      <c r="E1527" s="15">
        <v>0.25</v>
      </c>
      <c r="F1527" s="16">
        <v>9.6273999999999997</v>
      </c>
      <c r="G1527" s="16">
        <v>2.41</v>
      </c>
    </row>
    <row r="1528" spans="1:7" ht="15" customHeight="1">
      <c r="A1528" s="11"/>
      <c r="B1528" s="11"/>
      <c r="C1528" s="11"/>
      <c r="D1528" s="11"/>
      <c r="E1528" s="153" t="s">
        <v>382</v>
      </c>
      <c r="F1528" s="154"/>
      <c r="G1528" s="17">
        <v>6.33</v>
      </c>
    </row>
    <row r="1529" spans="1:7" ht="15" customHeight="1">
      <c r="A1529" s="151" t="s">
        <v>383</v>
      </c>
      <c r="B1529" s="152"/>
      <c r="C1529" s="12" t="s">
        <v>373</v>
      </c>
      <c r="D1529" s="12" t="s">
        <v>374</v>
      </c>
      <c r="E1529" s="12" t="s">
        <v>375</v>
      </c>
      <c r="F1529" s="12" t="s">
        <v>376</v>
      </c>
      <c r="G1529" s="12" t="s">
        <v>377</v>
      </c>
    </row>
    <row r="1530" spans="1:7" ht="15" customHeight="1">
      <c r="A1530" s="13" t="s">
        <v>749</v>
      </c>
      <c r="B1530" s="14" t="s">
        <v>750</v>
      </c>
      <c r="C1530" s="13" t="s">
        <v>380</v>
      </c>
      <c r="D1530" s="13" t="s">
        <v>392</v>
      </c>
      <c r="E1530" s="15">
        <v>1</v>
      </c>
      <c r="F1530" s="16">
        <v>0.2</v>
      </c>
      <c r="G1530" s="16">
        <v>0.2</v>
      </c>
    </row>
    <row r="1531" spans="1:7" ht="15" customHeight="1">
      <c r="A1531" s="13" t="s">
        <v>948</v>
      </c>
      <c r="B1531" s="14" t="s">
        <v>949</v>
      </c>
      <c r="C1531" s="13" t="s">
        <v>380</v>
      </c>
      <c r="D1531" s="13" t="s">
        <v>430</v>
      </c>
      <c r="E1531" s="15">
        <v>1</v>
      </c>
      <c r="F1531" s="16">
        <v>45.68</v>
      </c>
      <c r="G1531" s="16">
        <v>45.68</v>
      </c>
    </row>
    <row r="1532" spans="1:7" ht="15" customHeight="1">
      <c r="A1532" s="11"/>
      <c r="B1532" s="11"/>
      <c r="C1532" s="11"/>
      <c r="D1532" s="11"/>
      <c r="E1532" s="153" t="s">
        <v>396</v>
      </c>
      <c r="F1532" s="154"/>
      <c r="G1532" s="17">
        <v>45.88</v>
      </c>
    </row>
    <row r="1533" spans="1:7" ht="15" customHeight="1">
      <c r="A1533" s="11"/>
      <c r="B1533" s="11"/>
      <c r="C1533" s="11"/>
      <c r="D1533" s="11"/>
      <c r="E1533" s="147" t="s">
        <v>397</v>
      </c>
      <c r="F1533" s="148"/>
      <c r="G1533" s="18">
        <v>52.21</v>
      </c>
    </row>
    <row r="1534" spans="1:7" ht="15" customHeight="1">
      <c r="A1534" s="11"/>
      <c r="B1534" s="11"/>
      <c r="C1534" s="11"/>
      <c r="D1534" s="11"/>
      <c r="E1534" s="147" t="s">
        <v>398</v>
      </c>
      <c r="F1534" s="148"/>
      <c r="G1534" s="18">
        <v>5.39</v>
      </c>
    </row>
    <row r="1535" spans="1:7" ht="15" customHeight="1">
      <c r="A1535" s="11"/>
      <c r="B1535" s="11"/>
      <c r="C1535" s="11"/>
      <c r="D1535" s="11"/>
      <c r="E1535" s="147" t="s">
        <v>399</v>
      </c>
      <c r="F1535" s="148"/>
      <c r="G1535" s="18">
        <v>57.6</v>
      </c>
    </row>
    <row r="1536" spans="1:7" ht="15" customHeight="1">
      <c r="A1536" s="11"/>
      <c r="B1536" s="11"/>
      <c r="C1536" s="11"/>
      <c r="D1536" s="11"/>
      <c r="E1536" s="147" t="s">
        <v>400</v>
      </c>
      <c r="F1536" s="148"/>
      <c r="G1536" s="18">
        <v>13.985300000000001</v>
      </c>
    </row>
    <row r="1537" spans="1:7" ht="15" customHeight="1">
      <c r="A1537" s="11"/>
      <c r="B1537" s="11"/>
      <c r="C1537" s="11"/>
      <c r="D1537" s="11"/>
      <c r="E1537" s="147" t="s">
        <v>401</v>
      </c>
      <c r="F1537" s="148"/>
      <c r="G1537" s="18">
        <v>71.59</v>
      </c>
    </row>
    <row r="1538" spans="1:7" ht="9.9499999999999993" customHeight="1">
      <c r="A1538" s="11"/>
      <c r="B1538" s="11"/>
      <c r="C1538" s="155" t="s">
        <v>370</v>
      </c>
      <c r="D1538" s="156"/>
      <c r="E1538" s="11"/>
      <c r="F1538" s="11"/>
      <c r="G1538" s="11"/>
    </row>
    <row r="1539" spans="1:7" ht="20.100000000000001" customHeight="1">
      <c r="A1539" s="149" t="s">
        <v>950</v>
      </c>
      <c r="B1539" s="150"/>
      <c r="C1539" s="150"/>
      <c r="D1539" s="150"/>
      <c r="E1539" s="150"/>
      <c r="F1539" s="150"/>
      <c r="G1539" s="150"/>
    </row>
    <row r="1540" spans="1:7" ht="15" customHeight="1">
      <c r="A1540" s="151" t="s">
        <v>383</v>
      </c>
      <c r="B1540" s="152"/>
      <c r="C1540" s="12" t="s">
        <v>373</v>
      </c>
      <c r="D1540" s="12" t="s">
        <v>374</v>
      </c>
      <c r="E1540" s="12" t="s">
        <v>375</v>
      </c>
      <c r="F1540" s="12" t="s">
        <v>376</v>
      </c>
      <c r="G1540" s="12" t="s">
        <v>377</v>
      </c>
    </row>
    <row r="1541" spans="1:7" ht="15" customHeight="1">
      <c r="A1541" s="13" t="s">
        <v>951</v>
      </c>
      <c r="B1541" s="14" t="s">
        <v>952</v>
      </c>
      <c r="C1541" s="13" t="s">
        <v>405</v>
      </c>
      <c r="D1541" s="13" t="s">
        <v>430</v>
      </c>
      <c r="E1541" s="15">
        <v>3.04E-2</v>
      </c>
      <c r="F1541" s="16">
        <v>2.65</v>
      </c>
      <c r="G1541" s="16">
        <v>0.08</v>
      </c>
    </row>
    <row r="1542" spans="1:7" ht="20.100000000000001" customHeight="1">
      <c r="A1542" s="13" t="s">
        <v>953</v>
      </c>
      <c r="B1542" s="14" t="s">
        <v>954</v>
      </c>
      <c r="C1542" s="13" t="s">
        <v>405</v>
      </c>
      <c r="D1542" s="13" t="s">
        <v>430</v>
      </c>
      <c r="E1542" s="15">
        <v>1</v>
      </c>
      <c r="F1542" s="16">
        <v>78.63</v>
      </c>
      <c r="G1542" s="16">
        <v>78.63</v>
      </c>
    </row>
    <row r="1543" spans="1:7" ht="15" customHeight="1">
      <c r="A1543" s="11"/>
      <c r="B1543" s="11"/>
      <c r="C1543" s="11"/>
      <c r="D1543" s="11"/>
      <c r="E1543" s="153" t="s">
        <v>396</v>
      </c>
      <c r="F1543" s="154"/>
      <c r="G1543" s="17">
        <v>78.709999999999994</v>
      </c>
    </row>
    <row r="1544" spans="1:7" ht="15" customHeight="1">
      <c r="A1544" s="151" t="s">
        <v>414</v>
      </c>
      <c r="B1544" s="152"/>
      <c r="C1544" s="12" t="s">
        <v>373</v>
      </c>
      <c r="D1544" s="12" t="s">
        <v>374</v>
      </c>
      <c r="E1544" s="12" t="s">
        <v>375</v>
      </c>
      <c r="F1544" s="12" t="s">
        <v>376</v>
      </c>
      <c r="G1544" s="12" t="s">
        <v>377</v>
      </c>
    </row>
    <row r="1545" spans="1:7" ht="20.100000000000001" customHeight="1">
      <c r="A1545" s="13" t="s">
        <v>736</v>
      </c>
      <c r="B1545" s="14" t="s">
        <v>737</v>
      </c>
      <c r="C1545" s="13" t="s">
        <v>405</v>
      </c>
      <c r="D1545" s="13" t="s">
        <v>381</v>
      </c>
      <c r="E1545" s="15">
        <v>0.17</v>
      </c>
      <c r="F1545" s="16">
        <v>11.78</v>
      </c>
      <c r="G1545" s="16">
        <v>2</v>
      </c>
    </row>
    <row r="1546" spans="1:7" ht="15" customHeight="1">
      <c r="A1546" s="13" t="s">
        <v>435</v>
      </c>
      <c r="B1546" s="14" t="s">
        <v>436</v>
      </c>
      <c r="C1546" s="13" t="s">
        <v>405</v>
      </c>
      <c r="D1546" s="13" t="s">
        <v>381</v>
      </c>
      <c r="E1546" s="15">
        <v>0.05</v>
      </c>
      <c r="F1546" s="16">
        <v>9.6300000000000008</v>
      </c>
      <c r="G1546" s="16">
        <v>0.48</v>
      </c>
    </row>
    <row r="1547" spans="1:7" ht="15" customHeight="1">
      <c r="A1547" s="11"/>
      <c r="B1547" s="11"/>
      <c r="C1547" s="11"/>
      <c r="D1547" s="11"/>
      <c r="E1547" s="153" t="s">
        <v>431</v>
      </c>
      <c r="F1547" s="154"/>
      <c r="G1547" s="17">
        <v>2.48</v>
      </c>
    </row>
    <row r="1548" spans="1:7" ht="15" customHeight="1">
      <c r="A1548" s="11"/>
      <c r="B1548" s="11"/>
      <c r="C1548" s="11"/>
      <c r="D1548" s="11"/>
      <c r="E1548" s="147" t="s">
        <v>397</v>
      </c>
      <c r="F1548" s="148"/>
      <c r="G1548" s="18">
        <v>81.19</v>
      </c>
    </row>
    <row r="1549" spans="1:7" ht="15" customHeight="1">
      <c r="A1549" s="11"/>
      <c r="B1549" s="11"/>
      <c r="C1549" s="11"/>
      <c r="D1549" s="11"/>
      <c r="E1549" s="147" t="s">
        <v>398</v>
      </c>
      <c r="F1549" s="148"/>
      <c r="G1549" s="18">
        <v>1.1499999999999999</v>
      </c>
    </row>
    <row r="1550" spans="1:7" ht="15" customHeight="1">
      <c r="A1550" s="11"/>
      <c r="B1550" s="11"/>
      <c r="C1550" s="11"/>
      <c r="D1550" s="11"/>
      <c r="E1550" s="147" t="s">
        <v>399</v>
      </c>
      <c r="F1550" s="148"/>
      <c r="G1550" s="18">
        <v>82.34</v>
      </c>
    </row>
    <row r="1551" spans="1:7" ht="15" customHeight="1">
      <c r="A1551" s="11"/>
      <c r="B1551" s="11"/>
      <c r="C1551" s="11"/>
      <c r="D1551" s="11"/>
      <c r="E1551" s="147" t="s">
        <v>400</v>
      </c>
      <c r="F1551" s="148"/>
      <c r="G1551" s="18">
        <v>19.9922</v>
      </c>
    </row>
    <row r="1552" spans="1:7" ht="15" customHeight="1">
      <c r="A1552" s="11"/>
      <c r="B1552" s="11"/>
      <c r="C1552" s="11"/>
      <c r="D1552" s="11"/>
      <c r="E1552" s="147" t="s">
        <v>401</v>
      </c>
      <c r="F1552" s="148"/>
      <c r="G1552" s="18">
        <v>102.33</v>
      </c>
    </row>
    <row r="1553" spans="1:7" ht="9.9499999999999993" customHeight="1">
      <c r="A1553" s="11"/>
      <c r="B1553" s="11"/>
      <c r="C1553" s="155" t="s">
        <v>370</v>
      </c>
      <c r="D1553" s="156"/>
      <c r="E1553" s="11"/>
      <c r="F1553" s="11"/>
      <c r="G1553" s="11"/>
    </row>
    <row r="1554" spans="1:7" ht="20.100000000000001" customHeight="1">
      <c r="A1554" s="149" t="s">
        <v>955</v>
      </c>
      <c r="B1554" s="150"/>
      <c r="C1554" s="150"/>
      <c r="D1554" s="150"/>
      <c r="E1554" s="150"/>
      <c r="F1554" s="150"/>
      <c r="G1554" s="150"/>
    </row>
    <row r="1555" spans="1:7" ht="15" customHeight="1">
      <c r="A1555" s="151" t="s">
        <v>372</v>
      </c>
      <c r="B1555" s="152"/>
      <c r="C1555" s="12" t="s">
        <v>373</v>
      </c>
      <c r="D1555" s="12" t="s">
        <v>374</v>
      </c>
      <c r="E1555" s="12" t="s">
        <v>375</v>
      </c>
      <c r="F1555" s="12" t="s">
        <v>376</v>
      </c>
      <c r="G1555" s="12" t="s">
        <v>377</v>
      </c>
    </row>
    <row r="1556" spans="1:7" ht="15" customHeight="1">
      <c r="A1556" s="13" t="s">
        <v>745</v>
      </c>
      <c r="B1556" s="14" t="s">
        <v>746</v>
      </c>
      <c r="C1556" s="13" t="s">
        <v>380</v>
      </c>
      <c r="D1556" s="13" t="s">
        <v>381</v>
      </c>
      <c r="E1556" s="15">
        <v>0.5</v>
      </c>
      <c r="F1556" s="16">
        <v>7.8402000000000003</v>
      </c>
      <c r="G1556" s="16">
        <v>3.92</v>
      </c>
    </row>
    <row r="1557" spans="1:7" ht="15" customHeight="1">
      <c r="A1557" s="13" t="s">
        <v>747</v>
      </c>
      <c r="B1557" s="14" t="s">
        <v>748</v>
      </c>
      <c r="C1557" s="13" t="s">
        <v>380</v>
      </c>
      <c r="D1557" s="13" t="s">
        <v>381</v>
      </c>
      <c r="E1557" s="15">
        <v>0.25</v>
      </c>
      <c r="F1557" s="16">
        <v>9.6273999999999997</v>
      </c>
      <c r="G1557" s="16">
        <v>2.41</v>
      </c>
    </row>
    <row r="1558" spans="1:7" ht="15" customHeight="1">
      <c r="A1558" s="11"/>
      <c r="B1558" s="11"/>
      <c r="C1558" s="11"/>
      <c r="D1558" s="11"/>
      <c r="E1558" s="153" t="s">
        <v>382</v>
      </c>
      <c r="F1558" s="154"/>
      <c r="G1558" s="17">
        <v>6.33</v>
      </c>
    </row>
    <row r="1559" spans="1:7" ht="15" customHeight="1">
      <c r="A1559" s="151" t="s">
        <v>383</v>
      </c>
      <c r="B1559" s="152"/>
      <c r="C1559" s="12" t="s">
        <v>373</v>
      </c>
      <c r="D1559" s="12" t="s">
        <v>374</v>
      </c>
      <c r="E1559" s="12" t="s">
        <v>375</v>
      </c>
      <c r="F1559" s="12" t="s">
        <v>376</v>
      </c>
      <c r="G1559" s="12" t="s">
        <v>377</v>
      </c>
    </row>
    <row r="1560" spans="1:7" ht="15" customHeight="1">
      <c r="A1560" s="13" t="s">
        <v>749</v>
      </c>
      <c r="B1560" s="14" t="s">
        <v>750</v>
      </c>
      <c r="C1560" s="13" t="s">
        <v>380</v>
      </c>
      <c r="D1560" s="13" t="s">
        <v>392</v>
      </c>
      <c r="E1560" s="15">
        <v>0.28000000000000003</v>
      </c>
      <c r="F1560" s="16">
        <v>0.2</v>
      </c>
      <c r="G1560" s="16">
        <v>0.06</v>
      </c>
    </row>
    <row r="1561" spans="1:7" ht="15" customHeight="1">
      <c r="A1561" s="13" t="s">
        <v>956</v>
      </c>
      <c r="B1561" s="14" t="s">
        <v>957</v>
      </c>
      <c r="C1561" s="13" t="s">
        <v>380</v>
      </c>
      <c r="D1561" s="13" t="s">
        <v>430</v>
      </c>
      <c r="E1561" s="15">
        <v>1</v>
      </c>
      <c r="F1561" s="16">
        <v>9.8000000000000007</v>
      </c>
      <c r="G1561" s="16">
        <v>9.8000000000000007</v>
      </c>
    </row>
    <row r="1562" spans="1:7" ht="15" customHeight="1">
      <c r="A1562" s="11"/>
      <c r="B1562" s="11"/>
      <c r="C1562" s="11"/>
      <c r="D1562" s="11"/>
      <c r="E1562" s="153" t="s">
        <v>396</v>
      </c>
      <c r="F1562" s="154"/>
      <c r="G1562" s="17">
        <v>9.86</v>
      </c>
    </row>
    <row r="1563" spans="1:7" ht="15" customHeight="1">
      <c r="A1563" s="11"/>
      <c r="B1563" s="11"/>
      <c r="C1563" s="11"/>
      <c r="D1563" s="11"/>
      <c r="E1563" s="147" t="s">
        <v>397</v>
      </c>
      <c r="F1563" s="148"/>
      <c r="G1563" s="18">
        <v>16.190000000000001</v>
      </c>
    </row>
    <row r="1564" spans="1:7" ht="15" customHeight="1">
      <c r="A1564" s="11"/>
      <c r="B1564" s="11"/>
      <c r="C1564" s="11"/>
      <c r="D1564" s="11"/>
      <c r="E1564" s="147" t="s">
        <v>398</v>
      </c>
      <c r="F1564" s="148"/>
      <c r="G1564" s="18">
        <v>5.38</v>
      </c>
    </row>
    <row r="1565" spans="1:7" ht="15" customHeight="1">
      <c r="A1565" s="11"/>
      <c r="B1565" s="11"/>
      <c r="C1565" s="11"/>
      <c r="D1565" s="11"/>
      <c r="E1565" s="147" t="s">
        <v>399</v>
      </c>
      <c r="F1565" s="148"/>
      <c r="G1565" s="18">
        <v>21.57</v>
      </c>
    </row>
    <row r="1566" spans="1:7" ht="15" customHeight="1">
      <c r="A1566" s="11"/>
      <c r="B1566" s="11"/>
      <c r="C1566" s="11"/>
      <c r="D1566" s="11"/>
      <c r="E1566" s="147" t="s">
        <v>400</v>
      </c>
      <c r="F1566" s="148"/>
      <c r="G1566" s="18">
        <v>5.2371999999999996</v>
      </c>
    </row>
    <row r="1567" spans="1:7" ht="15" customHeight="1">
      <c r="A1567" s="11"/>
      <c r="B1567" s="11"/>
      <c r="C1567" s="11"/>
      <c r="D1567" s="11"/>
      <c r="E1567" s="147" t="s">
        <v>401</v>
      </c>
      <c r="F1567" s="148"/>
      <c r="G1567" s="18">
        <v>26.81</v>
      </c>
    </row>
    <row r="1568" spans="1:7" ht="9.9499999999999993" customHeight="1">
      <c r="A1568" s="11"/>
      <c r="B1568" s="11"/>
      <c r="C1568" s="155" t="s">
        <v>370</v>
      </c>
      <c r="D1568" s="156"/>
      <c r="E1568" s="11"/>
      <c r="F1568" s="11"/>
      <c r="G1568" s="11"/>
    </row>
    <row r="1569" spans="1:7" ht="20.100000000000001" customHeight="1">
      <c r="A1569" s="149" t="s">
        <v>958</v>
      </c>
      <c r="B1569" s="150"/>
      <c r="C1569" s="150"/>
      <c r="D1569" s="150"/>
      <c r="E1569" s="150"/>
      <c r="F1569" s="150"/>
      <c r="G1569" s="150"/>
    </row>
    <row r="1570" spans="1:7" ht="15" customHeight="1">
      <c r="A1570" s="151" t="s">
        <v>372</v>
      </c>
      <c r="B1570" s="152"/>
      <c r="C1570" s="12" t="s">
        <v>373</v>
      </c>
      <c r="D1570" s="12" t="s">
        <v>374</v>
      </c>
      <c r="E1570" s="12" t="s">
        <v>375</v>
      </c>
      <c r="F1570" s="12" t="s">
        <v>376</v>
      </c>
      <c r="G1570" s="12" t="s">
        <v>377</v>
      </c>
    </row>
    <row r="1571" spans="1:7" ht="15" customHeight="1">
      <c r="A1571" s="13" t="s">
        <v>745</v>
      </c>
      <c r="B1571" s="14" t="s">
        <v>746</v>
      </c>
      <c r="C1571" s="13" t="s">
        <v>380</v>
      </c>
      <c r="D1571" s="13" t="s">
        <v>381</v>
      </c>
      <c r="E1571" s="15">
        <v>3</v>
      </c>
      <c r="F1571" s="16">
        <v>7.8402000000000003</v>
      </c>
      <c r="G1571" s="16">
        <f>F1571*E1571</f>
        <v>23.520600000000002</v>
      </c>
    </row>
    <row r="1572" spans="1:7" ht="15" customHeight="1">
      <c r="A1572" s="13" t="s">
        <v>747</v>
      </c>
      <c r="B1572" s="14" t="s">
        <v>748</v>
      </c>
      <c r="C1572" s="13" t="s">
        <v>380</v>
      </c>
      <c r="D1572" s="13" t="s">
        <v>381</v>
      </c>
      <c r="E1572" s="15">
        <v>3</v>
      </c>
      <c r="F1572" s="16">
        <v>9.6273999999999997</v>
      </c>
      <c r="G1572" s="16">
        <f>F1572*E1572</f>
        <v>28.882199999999997</v>
      </c>
    </row>
    <row r="1573" spans="1:7" ht="15" customHeight="1">
      <c r="A1573" s="11"/>
      <c r="B1573" s="11"/>
      <c r="C1573" s="11"/>
      <c r="D1573" s="11"/>
      <c r="E1573" s="153" t="s">
        <v>382</v>
      </c>
      <c r="F1573" s="154"/>
      <c r="G1573" s="17">
        <f>SUM(G1571:G1572)</f>
        <v>52.402799999999999</v>
      </c>
    </row>
    <row r="1574" spans="1:7" ht="15" customHeight="1">
      <c r="A1574" s="151" t="s">
        <v>383</v>
      </c>
      <c r="B1574" s="152"/>
      <c r="C1574" s="12" t="s">
        <v>373</v>
      </c>
      <c r="D1574" s="12" t="s">
        <v>374</v>
      </c>
      <c r="E1574" s="12" t="s">
        <v>375</v>
      </c>
      <c r="F1574" s="12" t="s">
        <v>376</v>
      </c>
      <c r="G1574" s="12" t="s">
        <v>377</v>
      </c>
    </row>
    <row r="1575" spans="1:7" ht="15" customHeight="1">
      <c r="A1575" s="13" t="s">
        <v>959</v>
      </c>
      <c r="B1575" s="14" t="s">
        <v>960</v>
      </c>
      <c r="C1575" s="13" t="s">
        <v>380</v>
      </c>
      <c r="D1575" s="13" t="s">
        <v>430</v>
      </c>
      <c r="E1575" s="15">
        <v>1</v>
      </c>
      <c r="F1575" s="16">
        <v>21.63</v>
      </c>
      <c r="G1575" s="16">
        <f>F1575*E1575</f>
        <v>21.63</v>
      </c>
    </row>
    <row r="1576" spans="1:7" ht="15" customHeight="1">
      <c r="A1576" s="13" t="s">
        <v>749</v>
      </c>
      <c r="B1576" s="14" t="s">
        <v>750</v>
      </c>
      <c r="C1576" s="13" t="s">
        <v>380</v>
      </c>
      <c r="D1576" s="13" t="s">
        <v>392</v>
      </c>
      <c r="E1576" s="15">
        <v>0.75</v>
      </c>
      <c r="F1576" s="16">
        <v>0.2</v>
      </c>
      <c r="G1576" s="16">
        <f t="shared" ref="G1576:G1578" si="0">F1576*E1576</f>
        <v>0.15000000000000002</v>
      </c>
    </row>
    <row r="1577" spans="1:7" ht="15" customHeight="1">
      <c r="A1577" s="13" t="s">
        <v>961</v>
      </c>
      <c r="B1577" s="14" t="s">
        <v>962</v>
      </c>
      <c r="C1577" s="13" t="s">
        <v>380</v>
      </c>
      <c r="D1577" s="13" t="s">
        <v>430</v>
      </c>
      <c r="E1577" s="15">
        <v>1</v>
      </c>
      <c r="F1577" s="16">
        <v>286.2</v>
      </c>
      <c r="G1577" s="16">
        <f t="shared" si="0"/>
        <v>286.2</v>
      </c>
    </row>
    <row r="1578" spans="1:7" ht="15" customHeight="1">
      <c r="A1578" s="13" t="s">
        <v>963</v>
      </c>
      <c r="B1578" s="14" t="s">
        <v>964</v>
      </c>
      <c r="C1578" s="13" t="s">
        <v>380</v>
      </c>
      <c r="D1578" s="13" t="s">
        <v>430</v>
      </c>
      <c r="E1578" s="15">
        <v>1</v>
      </c>
      <c r="F1578" s="16">
        <v>28.73</v>
      </c>
      <c r="G1578" s="16">
        <f t="shared" si="0"/>
        <v>28.73</v>
      </c>
    </row>
    <row r="1579" spans="1:7" ht="15" customHeight="1">
      <c r="A1579" s="11"/>
      <c r="B1579" s="11"/>
      <c r="C1579" s="11"/>
      <c r="D1579" s="11"/>
      <c r="E1579" s="153" t="s">
        <v>396</v>
      </c>
      <c r="F1579" s="154"/>
      <c r="G1579" s="17">
        <f>SUM(G1575:G1578)</f>
        <v>336.71</v>
      </c>
    </row>
    <row r="1580" spans="1:7" ht="15" customHeight="1">
      <c r="A1580" s="11"/>
      <c r="B1580" s="11"/>
      <c r="C1580" s="11"/>
      <c r="D1580" s="11"/>
      <c r="E1580" s="147" t="s">
        <v>397</v>
      </c>
      <c r="F1580" s="148"/>
      <c r="G1580" s="18">
        <f>G1579+G1573</f>
        <v>389.11279999999999</v>
      </c>
    </row>
    <row r="1581" spans="1:7" ht="21" customHeight="1">
      <c r="A1581" s="11"/>
      <c r="B1581" s="11"/>
      <c r="C1581" s="11"/>
      <c r="D1581" s="11"/>
      <c r="E1581" s="147" t="s">
        <v>398</v>
      </c>
      <c r="F1581" s="148"/>
      <c r="G1581" s="18">
        <f>G1573*0.852</f>
        <v>44.6471856</v>
      </c>
    </row>
    <row r="1582" spans="1:7" ht="15" customHeight="1">
      <c r="A1582" s="11"/>
      <c r="B1582" s="11"/>
      <c r="C1582" s="11"/>
      <c r="D1582" s="11"/>
      <c r="E1582" s="147" t="s">
        <v>399</v>
      </c>
      <c r="F1582" s="148"/>
      <c r="G1582" s="18">
        <f>G1581+G1580</f>
        <v>433.75998559999999</v>
      </c>
    </row>
    <row r="1583" spans="1:7" ht="15" customHeight="1">
      <c r="A1583" s="11"/>
      <c r="B1583" s="11"/>
      <c r="C1583" s="11"/>
      <c r="D1583" s="11"/>
      <c r="E1583" s="147" t="s">
        <v>400</v>
      </c>
      <c r="F1583" s="148"/>
      <c r="G1583" s="18">
        <f>G1582*0.2428</f>
        <v>105.31692450368</v>
      </c>
    </row>
    <row r="1584" spans="1:7" ht="15" customHeight="1">
      <c r="A1584" s="11"/>
      <c r="B1584" s="11"/>
      <c r="C1584" s="11"/>
      <c r="D1584" s="11"/>
      <c r="E1584" s="147" t="s">
        <v>401</v>
      </c>
      <c r="F1584" s="148"/>
      <c r="G1584" s="18">
        <f>G1582+G1583</f>
        <v>539.07691010368001</v>
      </c>
    </row>
    <row r="1585" spans="1:7" ht="9.9499999999999993" customHeight="1">
      <c r="A1585" s="11"/>
      <c r="B1585" s="11"/>
      <c r="C1585" s="155" t="s">
        <v>370</v>
      </c>
      <c r="D1585" s="156"/>
      <c r="E1585" s="11"/>
      <c r="F1585" s="11"/>
      <c r="G1585" s="11"/>
    </row>
    <row r="1586" spans="1:7" ht="20.100000000000001" customHeight="1">
      <c r="A1586" s="149" t="s">
        <v>965</v>
      </c>
      <c r="B1586" s="150"/>
      <c r="C1586" s="150"/>
      <c r="D1586" s="150"/>
      <c r="E1586" s="150"/>
      <c r="F1586" s="150"/>
      <c r="G1586" s="150"/>
    </row>
    <row r="1587" spans="1:7" ht="15" customHeight="1">
      <c r="A1587" s="151" t="s">
        <v>372</v>
      </c>
      <c r="B1587" s="152"/>
      <c r="C1587" s="12" t="s">
        <v>373</v>
      </c>
      <c r="D1587" s="12" t="s">
        <v>374</v>
      </c>
      <c r="E1587" s="12" t="s">
        <v>375</v>
      </c>
      <c r="F1587" s="12" t="s">
        <v>376</v>
      </c>
      <c r="G1587" s="12" t="s">
        <v>377</v>
      </c>
    </row>
    <row r="1588" spans="1:7" ht="15" customHeight="1">
      <c r="A1588" s="13" t="s">
        <v>485</v>
      </c>
      <c r="B1588" s="14" t="s">
        <v>379</v>
      </c>
      <c r="C1588" s="13" t="s">
        <v>482</v>
      </c>
      <c r="D1588" s="13" t="s">
        <v>381</v>
      </c>
      <c r="E1588" s="15">
        <v>1.8759999999999999</v>
      </c>
      <c r="F1588" s="16">
        <v>4.3499999999999996</v>
      </c>
      <c r="G1588" s="16">
        <v>8.16</v>
      </c>
    </row>
    <row r="1589" spans="1:7" ht="15" customHeight="1">
      <c r="A1589" s="11"/>
      <c r="B1589" s="11"/>
      <c r="C1589" s="11"/>
      <c r="D1589" s="11"/>
      <c r="E1589" s="153" t="s">
        <v>382</v>
      </c>
      <c r="F1589" s="154"/>
      <c r="G1589" s="17">
        <v>8.16</v>
      </c>
    </row>
    <row r="1590" spans="1:7" ht="15" customHeight="1">
      <c r="A1590" s="151" t="s">
        <v>383</v>
      </c>
      <c r="B1590" s="152"/>
      <c r="C1590" s="12" t="s">
        <v>373</v>
      </c>
      <c r="D1590" s="12" t="s">
        <v>374</v>
      </c>
      <c r="E1590" s="12" t="s">
        <v>375</v>
      </c>
      <c r="F1590" s="12" t="s">
        <v>376</v>
      </c>
      <c r="G1590" s="12" t="s">
        <v>377</v>
      </c>
    </row>
    <row r="1591" spans="1:7" ht="15" customHeight="1">
      <c r="A1591" s="13" t="s">
        <v>966</v>
      </c>
      <c r="B1591" s="14" t="s">
        <v>967</v>
      </c>
      <c r="C1591" s="13" t="s">
        <v>482</v>
      </c>
      <c r="D1591" s="13" t="s">
        <v>430</v>
      </c>
      <c r="E1591" s="15">
        <v>0.09</v>
      </c>
      <c r="F1591" s="16">
        <v>9.0299999999999994</v>
      </c>
      <c r="G1591" s="16">
        <v>0.81</v>
      </c>
    </row>
    <row r="1592" spans="1:7" ht="15" customHeight="1">
      <c r="A1592" s="11"/>
      <c r="B1592" s="11"/>
      <c r="C1592" s="11"/>
      <c r="D1592" s="11"/>
      <c r="E1592" s="153" t="s">
        <v>396</v>
      </c>
      <c r="F1592" s="154"/>
      <c r="G1592" s="17">
        <v>0.81</v>
      </c>
    </row>
    <row r="1593" spans="1:7" ht="15" customHeight="1">
      <c r="A1593" s="11"/>
      <c r="B1593" s="11"/>
      <c r="C1593" s="11"/>
      <c r="D1593" s="11"/>
      <c r="E1593" s="147" t="s">
        <v>397</v>
      </c>
      <c r="F1593" s="148"/>
      <c r="G1593" s="18">
        <v>8.9700000000000006</v>
      </c>
    </row>
    <row r="1594" spans="1:7" ht="15" customHeight="1">
      <c r="A1594" s="11"/>
      <c r="B1594" s="11"/>
      <c r="C1594" s="11"/>
      <c r="D1594" s="11"/>
      <c r="E1594" s="147" t="s">
        <v>492</v>
      </c>
      <c r="F1594" s="148"/>
      <c r="G1594" s="18">
        <v>9.64</v>
      </c>
    </row>
    <row r="1595" spans="1:7" ht="15" customHeight="1">
      <c r="A1595" s="11"/>
      <c r="B1595" s="11"/>
      <c r="C1595" s="11"/>
      <c r="D1595" s="11"/>
      <c r="E1595" s="147" t="s">
        <v>399</v>
      </c>
      <c r="F1595" s="148"/>
      <c r="G1595" s="18">
        <v>18.61</v>
      </c>
    </row>
    <row r="1596" spans="1:7" ht="15" customHeight="1">
      <c r="A1596" s="11"/>
      <c r="B1596" s="11"/>
      <c r="C1596" s="11"/>
      <c r="D1596" s="11"/>
      <c r="E1596" s="147" t="s">
        <v>400</v>
      </c>
      <c r="F1596" s="148"/>
      <c r="G1596" s="18">
        <v>4.5185000000000004</v>
      </c>
    </row>
    <row r="1597" spans="1:7" ht="15" customHeight="1">
      <c r="A1597" s="11"/>
      <c r="B1597" s="11"/>
      <c r="C1597" s="11"/>
      <c r="D1597" s="11"/>
      <c r="E1597" s="147" t="s">
        <v>401</v>
      </c>
      <c r="F1597" s="148"/>
      <c r="G1597" s="18">
        <v>23.13</v>
      </c>
    </row>
  </sheetData>
  <mergeCells count="1142">
    <mergeCell ref="A5:G5"/>
    <mergeCell ref="A6:B6"/>
    <mergeCell ref="E8:F8"/>
    <mergeCell ref="A9:B9"/>
    <mergeCell ref="A1496:B1496"/>
    <mergeCell ref="E1499:F1499"/>
    <mergeCell ref="A1481:B1481"/>
    <mergeCell ref="E1484:F1484"/>
    <mergeCell ref="E37:F37"/>
    <mergeCell ref="E38:F38"/>
    <mergeCell ref="E39:F39"/>
    <mergeCell ref="E40:F40"/>
    <mergeCell ref="E41:F41"/>
    <mergeCell ref="C42:D42"/>
    <mergeCell ref="C20:D20"/>
    <mergeCell ref="A21:G21"/>
    <mergeCell ref="A22:B22"/>
    <mergeCell ref="E28:F28"/>
    <mergeCell ref="A29:B29"/>
    <mergeCell ref="E36:F36"/>
    <mergeCell ref="E14:F14"/>
    <mergeCell ref="E15:F15"/>
    <mergeCell ref="E16:F16"/>
    <mergeCell ref="E17:F17"/>
    <mergeCell ref="E18:F18"/>
    <mergeCell ref="E19:F19"/>
    <mergeCell ref="E59:F59"/>
    <mergeCell ref="E60:F60"/>
    <mergeCell ref="E61:F61"/>
    <mergeCell ref="E62:F62"/>
    <mergeCell ref="E63:F63"/>
    <mergeCell ref="C64:D64"/>
    <mergeCell ref="E51:F51"/>
    <mergeCell ref="E52:F52"/>
    <mergeCell ref="C53:D53"/>
    <mergeCell ref="A54:G54"/>
    <mergeCell ref="A55:B55"/>
    <mergeCell ref="E58:F58"/>
    <mergeCell ref="A43:G43"/>
    <mergeCell ref="A44:B44"/>
    <mergeCell ref="E47:F47"/>
    <mergeCell ref="E48:F48"/>
    <mergeCell ref="E49:F49"/>
    <mergeCell ref="E50:F50"/>
    <mergeCell ref="E80:F80"/>
    <mergeCell ref="E81:F81"/>
    <mergeCell ref="E82:F82"/>
    <mergeCell ref="E83:F83"/>
    <mergeCell ref="E84:F84"/>
    <mergeCell ref="C85:D85"/>
    <mergeCell ref="E73:F73"/>
    <mergeCell ref="E74:F74"/>
    <mergeCell ref="C75:D75"/>
    <mergeCell ref="A76:G76"/>
    <mergeCell ref="A77:B77"/>
    <mergeCell ref="E79:F79"/>
    <mergeCell ref="A65:G65"/>
    <mergeCell ref="A66:B66"/>
    <mergeCell ref="E69:F69"/>
    <mergeCell ref="E70:F70"/>
    <mergeCell ref="E71:F71"/>
    <mergeCell ref="E72:F72"/>
    <mergeCell ref="E101:F101"/>
    <mergeCell ref="E102:F102"/>
    <mergeCell ref="E103:F103"/>
    <mergeCell ref="E104:F104"/>
    <mergeCell ref="E105:F105"/>
    <mergeCell ref="E106:F106"/>
    <mergeCell ref="E94:F94"/>
    <mergeCell ref="E95:F95"/>
    <mergeCell ref="C96:D96"/>
    <mergeCell ref="A97:G97"/>
    <mergeCell ref="A98:G98"/>
    <mergeCell ref="A99:B99"/>
    <mergeCell ref="A86:G86"/>
    <mergeCell ref="A87:B87"/>
    <mergeCell ref="E90:F90"/>
    <mergeCell ref="E91:F91"/>
    <mergeCell ref="E92:F92"/>
    <mergeCell ref="E93:F93"/>
    <mergeCell ref="A121:G121"/>
    <mergeCell ref="A122:B122"/>
    <mergeCell ref="E125:F125"/>
    <mergeCell ref="E133:F133"/>
    <mergeCell ref="E134:F134"/>
    <mergeCell ref="E135:F135"/>
    <mergeCell ref="E136:F136"/>
    <mergeCell ref="C137:D137"/>
    <mergeCell ref="A138:G138"/>
    <mergeCell ref="A177:B177"/>
    <mergeCell ref="A126:B126"/>
    <mergeCell ref="E131:F131"/>
    <mergeCell ref="E132:F132"/>
    <mergeCell ref="E115:F115"/>
    <mergeCell ref="E116:F116"/>
    <mergeCell ref="E117:F117"/>
    <mergeCell ref="E118:F118"/>
    <mergeCell ref="E119:F119"/>
    <mergeCell ref="C120:D120"/>
    <mergeCell ref="C107:D107"/>
    <mergeCell ref="A108:G108"/>
    <mergeCell ref="A109:B109"/>
    <mergeCell ref="E111:F111"/>
    <mergeCell ref="A112:B112"/>
    <mergeCell ref="E114:F114"/>
    <mergeCell ref="E151:F151"/>
    <mergeCell ref="E152:F152"/>
    <mergeCell ref="E168:F168"/>
    <mergeCell ref="E169:F169"/>
    <mergeCell ref="C170:D170"/>
    <mergeCell ref="A171:G171"/>
    <mergeCell ref="A172:B172"/>
    <mergeCell ref="E176:F176"/>
    <mergeCell ref="E159:F159"/>
    <mergeCell ref="A160:B160"/>
    <mergeCell ref="E164:F164"/>
    <mergeCell ref="E165:F165"/>
    <mergeCell ref="E166:F166"/>
    <mergeCell ref="E167:F167"/>
    <mergeCell ref="E153:F153"/>
    <mergeCell ref="C154:D154"/>
    <mergeCell ref="A155:G155"/>
    <mergeCell ref="A156:B156"/>
    <mergeCell ref="A139:B139"/>
    <mergeCell ref="E142:F142"/>
    <mergeCell ref="A143:B143"/>
    <mergeCell ref="E148:F148"/>
    <mergeCell ref="E149:F149"/>
    <mergeCell ref="E150:F150"/>
    <mergeCell ref="E199:F199"/>
    <mergeCell ref="E200:F200"/>
    <mergeCell ref="E201:F201"/>
    <mergeCell ref="E202:F202"/>
    <mergeCell ref="E203:F203"/>
    <mergeCell ref="E204:F204"/>
    <mergeCell ref="E186:F186"/>
    <mergeCell ref="C187:D187"/>
    <mergeCell ref="A188:G188"/>
    <mergeCell ref="A189:B189"/>
    <mergeCell ref="E193:F193"/>
    <mergeCell ref="A194:B194"/>
    <mergeCell ref="E181:F181"/>
    <mergeCell ref="E182:F182"/>
    <mergeCell ref="E183:F183"/>
    <mergeCell ref="E184:F184"/>
    <mergeCell ref="E185:F185"/>
    <mergeCell ref="A222:G222"/>
    <mergeCell ref="A223:B223"/>
    <mergeCell ref="E226:F226"/>
    <mergeCell ref="A227:B227"/>
    <mergeCell ref="E231:F231"/>
    <mergeCell ref="E232:F232"/>
    <mergeCell ref="E216:F216"/>
    <mergeCell ref="E217:F217"/>
    <mergeCell ref="E218:F218"/>
    <mergeCell ref="E219:F219"/>
    <mergeCell ref="E220:F220"/>
    <mergeCell ref="C221:D221"/>
    <mergeCell ref="C205:D205"/>
    <mergeCell ref="A206:G206"/>
    <mergeCell ref="A207:B207"/>
    <mergeCell ref="E210:F210"/>
    <mergeCell ref="A211:B211"/>
    <mergeCell ref="E215:F215"/>
    <mergeCell ref="E255:F255"/>
    <mergeCell ref="E256:F256"/>
    <mergeCell ref="E257:F257"/>
    <mergeCell ref="E258:F258"/>
    <mergeCell ref="E259:F259"/>
    <mergeCell ref="C260:D260"/>
    <mergeCell ref="A239:B239"/>
    <mergeCell ref="E242:F242"/>
    <mergeCell ref="A243:B243"/>
    <mergeCell ref="E250:F250"/>
    <mergeCell ref="A251:B251"/>
    <mergeCell ref="E254:F254"/>
    <mergeCell ref="E233:F233"/>
    <mergeCell ref="E234:F234"/>
    <mergeCell ref="E235:F235"/>
    <mergeCell ref="E236:F236"/>
    <mergeCell ref="C237:D237"/>
    <mergeCell ref="A238:G238"/>
    <mergeCell ref="A281:B281"/>
    <mergeCell ref="E284:F284"/>
    <mergeCell ref="A285:B285"/>
    <mergeCell ref="E292:F292"/>
    <mergeCell ref="E293:F293"/>
    <mergeCell ref="E294:F294"/>
    <mergeCell ref="E275:F275"/>
    <mergeCell ref="E276:F276"/>
    <mergeCell ref="E277:F277"/>
    <mergeCell ref="E278:F278"/>
    <mergeCell ref="C279:D279"/>
    <mergeCell ref="A280:G280"/>
    <mergeCell ref="A261:G261"/>
    <mergeCell ref="A262:B262"/>
    <mergeCell ref="E265:F265"/>
    <mergeCell ref="A266:B266"/>
    <mergeCell ref="E273:F273"/>
    <mergeCell ref="E274:F274"/>
    <mergeCell ref="E315:F315"/>
    <mergeCell ref="E316:F316"/>
    <mergeCell ref="C317:D317"/>
    <mergeCell ref="A318:G318"/>
    <mergeCell ref="A319:B319"/>
    <mergeCell ref="E322:F322"/>
    <mergeCell ref="E303:F303"/>
    <mergeCell ref="A304:B304"/>
    <mergeCell ref="E311:F311"/>
    <mergeCell ref="E312:F312"/>
    <mergeCell ref="E313:F313"/>
    <mergeCell ref="E314:F314"/>
    <mergeCell ref="E295:F295"/>
    <mergeCell ref="E296:F296"/>
    <mergeCell ref="E297:F297"/>
    <mergeCell ref="C298:D298"/>
    <mergeCell ref="A299:G299"/>
    <mergeCell ref="A300:B300"/>
    <mergeCell ref="E343:F343"/>
    <mergeCell ref="E344:F344"/>
    <mergeCell ref="E345:F345"/>
    <mergeCell ref="E346:F346"/>
    <mergeCell ref="E347:F347"/>
    <mergeCell ref="E348:F348"/>
    <mergeCell ref="E335:F335"/>
    <mergeCell ref="C336:D336"/>
    <mergeCell ref="A337:G337"/>
    <mergeCell ref="A338:B338"/>
    <mergeCell ref="E340:F340"/>
    <mergeCell ref="A341:B341"/>
    <mergeCell ref="A323:B323"/>
    <mergeCell ref="E330:F330"/>
    <mergeCell ref="E331:F331"/>
    <mergeCell ref="E332:F332"/>
    <mergeCell ref="E333:F333"/>
    <mergeCell ref="E334:F334"/>
    <mergeCell ref="E361:F361"/>
    <mergeCell ref="E362:F362"/>
    <mergeCell ref="E363:F363"/>
    <mergeCell ref="E364:F364"/>
    <mergeCell ref="C365:D365"/>
    <mergeCell ref="A366:G366"/>
    <mergeCell ref="E355:F355"/>
    <mergeCell ref="E356:F356"/>
    <mergeCell ref="C357:D357"/>
    <mergeCell ref="A358:G358"/>
    <mergeCell ref="A359:G359"/>
    <mergeCell ref="E360:F360"/>
    <mergeCell ref="C349:D349"/>
    <mergeCell ref="A350:G350"/>
    <mergeCell ref="A351:G351"/>
    <mergeCell ref="E352:F352"/>
    <mergeCell ref="E353:F353"/>
    <mergeCell ref="E354:F354"/>
    <mergeCell ref="E388:F388"/>
    <mergeCell ref="A389:B389"/>
    <mergeCell ref="E393:F393"/>
    <mergeCell ref="E394:F394"/>
    <mergeCell ref="E395:F395"/>
    <mergeCell ref="E396:F396"/>
    <mergeCell ref="E379:F379"/>
    <mergeCell ref="E380:F380"/>
    <mergeCell ref="E381:F381"/>
    <mergeCell ref="C382:D382"/>
    <mergeCell ref="A383:G383"/>
    <mergeCell ref="A384:B384"/>
    <mergeCell ref="A367:B367"/>
    <mergeCell ref="E371:F371"/>
    <mergeCell ref="A372:B372"/>
    <mergeCell ref="E376:F376"/>
    <mergeCell ref="E377:F377"/>
    <mergeCell ref="E378:F378"/>
    <mergeCell ref="E415:F415"/>
    <mergeCell ref="C416:D416"/>
    <mergeCell ref="A417:G417"/>
    <mergeCell ref="A418:G418"/>
    <mergeCell ref="E419:F419"/>
    <mergeCell ref="E420:F420"/>
    <mergeCell ref="A406:B406"/>
    <mergeCell ref="E410:F410"/>
    <mergeCell ref="E411:F411"/>
    <mergeCell ref="E412:F412"/>
    <mergeCell ref="E413:F413"/>
    <mergeCell ref="E414:F414"/>
    <mergeCell ref="E397:F397"/>
    <mergeCell ref="E398:F398"/>
    <mergeCell ref="C399:D399"/>
    <mergeCell ref="A400:G400"/>
    <mergeCell ref="A401:B401"/>
    <mergeCell ref="E405:F405"/>
    <mergeCell ref="E438:F438"/>
    <mergeCell ref="E439:F439"/>
    <mergeCell ref="C440:D440"/>
    <mergeCell ref="A441:G441"/>
    <mergeCell ref="A442:B442"/>
    <mergeCell ref="E445:F445"/>
    <mergeCell ref="E429:F429"/>
    <mergeCell ref="A430:B430"/>
    <mergeCell ref="E434:F434"/>
    <mergeCell ref="E435:F435"/>
    <mergeCell ref="E436:F436"/>
    <mergeCell ref="E437:F437"/>
    <mergeCell ref="E421:F421"/>
    <mergeCell ref="E422:F422"/>
    <mergeCell ref="E423:F423"/>
    <mergeCell ref="C424:D424"/>
    <mergeCell ref="A425:G425"/>
    <mergeCell ref="A426:B426"/>
    <mergeCell ref="E466:F466"/>
    <mergeCell ref="E467:F467"/>
    <mergeCell ref="E468:F468"/>
    <mergeCell ref="E469:F469"/>
    <mergeCell ref="E470:F470"/>
    <mergeCell ref="E471:F471"/>
    <mergeCell ref="E455:F455"/>
    <mergeCell ref="C456:D456"/>
    <mergeCell ref="A457:G457"/>
    <mergeCell ref="A458:B458"/>
    <mergeCell ref="E461:F461"/>
    <mergeCell ref="A462:B462"/>
    <mergeCell ref="A446:B446"/>
    <mergeCell ref="E450:F450"/>
    <mergeCell ref="E451:F451"/>
    <mergeCell ref="E452:F452"/>
    <mergeCell ref="E453:F453"/>
    <mergeCell ref="E454:F454"/>
    <mergeCell ref="A488:G488"/>
    <mergeCell ref="A489:B489"/>
    <mergeCell ref="E491:F491"/>
    <mergeCell ref="E492:F492"/>
    <mergeCell ref="E493:F493"/>
    <mergeCell ref="E494:F494"/>
    <mergeCell ref="E482:F482"/>
    <mergeCell ref="E483:F483"/>
    <mergeCell ref="E484:F484"/>
    <mergeCell ref="E485:F485"/>
    <mergeCell ref="E486:F486"/>
    <mergeCell ref="C487:D487"/>
    <mergeCell ref="C472:D472"/>
    <mergeCell ref="A473:G473"/>
    <mergeCell ref="A474:B474"/>
    <mergeCell ref="E477:F477"/>
    <mergeCell ref="A478:B478"/>
    <mergeCell ref="E481:F481"/>
    <mergeCell ref="A507:B507"/>
    <mergeCell ref="E510:F510"/>
    <mergeCell ref="A511:B511"/>
    <mergeCell ref="E513:F513"/>
    <mergeCell ref="A514:B514"/>
    <mergeCell ref="E516:F516"/>
    <mergeCell ref="E501:F501"/>
    <mergeCell ref="E502:F502"/>
    <mergeCell ref="E503:F503"/>
    <mergeCell ref="E504:F504"/>
    <mergeCell ref="C505:D505"/>
    <mergeCell ref="A506:G506"/>
    <mergeCell ref="E495:F495"/>
    <mergeCell ref="E496:F496"/>
    <mergeCell ref="C497:D497"/>
    <mergeCell ref="A498:G498"/>
    <mergeCell ref="A499:G499"/>
    <mergeCell ref="E500:F500"/>
    <mergeCell ref="E538:F538"/>
    <mergeCell ref="E539:F539"/>
    <mergeCell ref="E540:F540"/>
    <mergeCell ref="E541:F541"/>
    <mergeCell ref="C542:D542"/>
    <mergeCell ref="A543:G543"/>
    <mergeCell ref="A523:G523"/>
    <mergeCell ref="A524:B524"/>
    <mergeCell ref="E527:F527"/>
    <mergeCell ref="A528:B528"/>
    <mergeCell ref="E536:F536"/>
    <mergeCell ref="E537:F537"/>
    <mergeCell ref="E517:F517"/>
    <mergeCell ref="E518:F518"/>
    <mergeCell ref="E519:F519"/>
    <mergeCell ref="E520:F520"/>
    <mergeCell ref="E521:F521"/>
    <mergeCell ref="C522:D522"/>
    <mergeCell ref="E573:F573"/>
    <mergeCell ref="A574:B574"/>
    <mergeCell ref="E577:F577"/>
    <mergeCell ref="E578:F578"/>
    <mergeCell ref="E579:F579"/>
    <mergeCell ref="E580:F580"/>
    <mergeCell ref="E565:F565"/>
    <mergeCell ref="E566:F566"/>
    <mergeCell ref="E567:F567"/>
    <mergeCell ref="C568:D568"/>
    <mergeCell ref="A569:G569"/>
    <mergeCell ref="A570:B570"/>
    <mergeCell ref="A544:B544"/>
    <mergeCell ref="E551:F551"/>
    <mergeCell ref="A552:B552"/>
    <mergeCell ref="E562:F562"/>
    <mergeCell ref="E563:F563"/>
    <mergeCell ref="E564:F564"/>
    <mergeCell ref="A593:B593"/>
    <mergeCell ref="E597:F597"/>
    <mergeCell ref="A598:B598"/>
    <mergeCell ref="E601:F601"/>
    <mergeCell ref="E602:F602"/>
    <mergeCell ref="E603:F603"/>
    <mergeCell ref="E587:F587"/>
    <mergeCell ref="E588:F588"/>
    <mergeCell ref="E589:F589"/>
    <mergeCell ref="E590:F590"/>
    <mergeCell ref="C591:D591"/>
    <mergeCell ref="A592:G592"/>
    <mergeCell ref="E581:F581"/>
    <mergeCell ref="E582:F582"/>
    <mergeCell ref="C583:D583"/>
    <mergeCell ref="A584:G584"/>
    <mergeCell ref="A585:G585"/>
    <mergeCell ref="E586:F586"/>
    <mergeCell ref="C619:D619"/>
    <mergeCell ref="A620:G620"/>
    <mergeCell ref="A621:B621"/>
    <mergeCell ref="E625:F625"/>
    <mergeCell ref="E626:F626"/>
    <mergeCell ref="E627:F627"/>
    <mergeCell ref="E613:F613"/>
    <mergeCell ref="E614:F614"/>
    <mergeCell ref="E615:F615"/>
    <mergeCell ref="E616:F616"/>
    <mergeCell ref="E617:F617"/>
    <mergeCell ref="E618:F618"/>
    <mergeCell ref="E604:F604"/>
    <mergeCell ref="E605:F605"/>
    <mergeCell ref="E606:F606"/>
    <mergeCell ref="C607:D607"/>
    <mergeCell ref="A608:G608"/>
    <mergeCell ref="A609:B609"/>
    <mergeCell ref="E644:F644"/>
    <mergeCell ref="E645:F645"/>
    <mergeCell ref="C646:D646"/>
    <mergeCell ref="A647:G647"/>
    <mergeCell ref="A648:B648"/>
    <mergeCell ref="E650:F650"/>
    <mergeCell ref="E636:F636"/>
    <mergeCell ref="A637:B637"/>
    <mergeCell ref="E640:F640"/>
    <mergeCell ref="E641:F641"/>
    <mergeCell ref="E642:F642"/>
    <mergeCell ref="E643:F643"/>
    <mergeCell ref="E628:F628"/>
    <mergeCell ref="E629:F629"/>
    <mergeCell ref="E630:F630"/>
    <mergeCell ref="C631:D631"/>
    <mergeCell ref="A632:G632"/>
    <mergeCell ref="A633:B633"/>
    <mergeCell ref="E670:F670"/>
    <mergeCell ref="A671:B671"/>
    <mergeCell ref="E675:F675"/>
    <mergeCell ref="E676:F676"/>
    <mergeCell ref="E677:F677"/>
    <mergeCell ref="E678:F678"/>
    <mergeCell ref="E662:F662"/>
    <mergeCell ref="E663:F663"/>
    <mergeCell ref="E664:F664"/>
    <mergeCell ref="C665:D665"/>
    <mergeCell ref="A666:G666"/>
    <mergeCell ref="A667:B667"/>
    <mergeCell ref="A651:B651"/>
    <mergeCell ref="E654:F654"/>
    <mergeCell ref="A655:B655"/>
    <mergeCell ref="E659:F659"/>
    <mergeCell ref="E660:F660"/>
    <mergeCell ref="E661:F661"/>
    <mergeCell ref="A691:B691"/>
    <mergeCell ref="E694:F694"/>
    <mergeCell ref="A695:B695"/>
    <mergeCell ref="E699:F699"/>
    <mergeCell ref="E700:F700"/>
    <mergeCell ref="E701:F701"/>
    <mergeCell ref="E685:F685"/>
    <mergeCell ref="E686:F686"/>
    <mergeCell ref="E687:F687"/>
    <mergeCell ref="E688:F688"/>
    <mergeCell ref="C689:D689"/>
    <mergeCell ref="A690:G690"/>
    <mergeCell ref="E679:F679"/>
    <mergeCell ref="E680:F680"/>
    <mergeCell ref="C681:D681"/>
    <mergeCell ref="A682:G682"/>
    <mergeCell ref="A683:G683"/>
    <mergeCell ref="E684:F684"/>
    <mergeCell ref="E719:F719"/>
    <mergeCell ref="E720:F720"/>
    <mergeCell ref="C721:D721"/>
    <mergeCell ref="A722:G722"/>
    <mergeCell ref="A723:B723"/>
    <mergeCell ref="E726:F726"/>
    <mergeCell ref="E710:F710"/>
    <mergeCell ref="A711:B711"/>
    <mergeCell ref="E715:F715"/>
    <mergeCell ref="E716:F716"/>
    <mergeCell ref="E717:F717"/>
    <mergeCell ref="E718:F718"/>
    <mergeCell ref="E702:F702"/>
    <mergeCell ref="E703:F703"/>
    <mergeCell ref="E704:F704"/>
    <mergeCell ref="C705:D705"/>
    <mergeCell ref="A706:G706"/>
    <mergeCell ref="A707:B707"/>
    <mergeCell ref="E743:F743"/>
    <mergeCell ref="A744:B744"/>
    <mergeCell ref="E746:F746"/>
    <mergeCell ref="A747:B747"/>
    <mergeCell ref="E749:F749"/>
    <mergeCell ref="E750:F750"/>
    <mergeCell ref="E735:F735"/>
    <mergeCell ref="E736:F736"/>
    <mergeCell ref="E737:F737"/>
    <mergeCell ref="C738:D738"/>
    <mergeCell ref="A739:G739"/>
    <mergeCell ref="A740:B740"/>
    <mergeCell ref="A727:B727"/>
    <mergeCell ref="E729:F729"/>
    <mergeCell ref="A730:B730"/>
    <mergeCell ref="E732:F732"/>
    <mergeCell ref="E733:F733"/>
    <mergeCell ref="E734:F734"/>
    <mergeCell ref="E775:F775"/>
    <mergeCell ref="A776:B776"/>
    <mergeCell ref="E781:F781"/>
    <mergeCell ref="E767:F767"/>
    <mergeCell ref="E768:F768"/>
    <mergeCell ref="E769:F769"/>
    <mergeCell ref="C770:D770"/>
    <mergeCell ref="A771:G771"/>
    <mergeCell ref="A772:B772"/>
    <mergeCell ref="A757:B757"/>
    <mergeCell ref="E760:F760"/>
    <mergeCell ref="A761:B761"/>
    <mergeCell ref="E764:F764"/>
    <mergeCell ref="E765:F765"/>
    <mergeCell ref="E766:F766"/>
    <mergeCell ref="E751:F751"/>
    <mergeCell ref="E752:F752"/>
    <mergeCell ref="E753:F753"/>
    <mergeCell ref="E754:F754"/>
    <mergeCell ref="C755:D755"/>
    <mergeCell ref="A756:G756"/>
    <mergeCell ref="E801:F801"/>
    <mergeCell ref="C802:D802"/>
    <mergeCell ref="A803:G803"/>
    <mergeCell ref="A804:B804"/>
    <mergeCell ref="E808:F808"/>
    <mergeCell ref="A809:B809"/>
    <mergeCell ref="A793:B793"/>
    <mergeCell ref="E796:F796"/>
    <mergeCell ref="E797:F797"/>
    <mergeCell ref="E798:F798"/>
    <mergeCell ref="E799:F799"/>
    <mergeCell ref="E800:F800"/>
    <mergeCell ref="E782:F782"/>
    <mergeCell ref="E783:F783"/>
    <mergeCell ref="C787:D787"/>
    <mergeCell ref="A788:G788"/>
    <mergeCell ref="A789:B789"/>
    <mergeCell ref="E792:F792"/>
    <mergeCell ref="E784:F784"/>
    <mergeCell ref="E785:F785"/>
    <mergeCell ref="E786:F786"/>
    <mergeCell ref="E833:F833"/>
    <mergeCell ref="E834:F834"/>
    <mergeCell ref="E835:F835"/>
    <mergeCell ref="E836:F836"/>
    <mergeCell ref="E837:F837"/>
    <mergeCell ref="C838:D838"/>
    <mergeCell ref="C822:D822"/>
    <mergeCell ref="A823:G823"/>
    <mergeCell ref="A824:B824"/>
    <mergeCell ref="E827:F827"/>
    <mergeCell ref="A828:B828"/>
    <mergeCell ref="E832:F832"/>
    <mergeCell ref="E816:F816"/>
    <mergeCell ref="E817:F817"/>
    <mergeCell ref="E818:F818"/>
    <mergeCell ref="E819:F819"/>
    <mergeCell ref="E820:F820"/>
    <mergeCell ref="E821:F821"/>
    <mergeCell ref="E851:F851"/>
    <mergeCell ref="E852:F852"/>
    <mergeCell ref="E853:F853"/>
    <mergeCell ref="C854:D854"/>
    <mergeCell ref="A855:G855"/>
    <mergeCell ref="A856:G856"/>
    <mergeCell ref="E845:F845"/>
    <mergeCell ref="C846:D846"/>
    <mergeCell ref="A847:G847"/>
    <mergeCell ref="A848:G848"/>
    <mergeCell ref="E849:F849"/>
    <mergeCell ref="E850:F850"/>
    <mergeCell ref="A839:G839"/>
    <mergeCell ref="A840:G840"/>
    <mergeCell ref="E841:F841"/>
    <mergeCell ref="E842:F842"/>
    <mergeCell ref="E843:F843"/>
    <mergeCell ref="E844:F844"/>
    <mergeCell ref="E875:F875"/>
    <mergeCell ref="E876:F876"/>
    <mergeCell ref="E877:F877"/>
    <mergeCell ref="E878:F878"/>
    <mergeCell ref="C879:D879"/>
    <mergeCell ref="A880:G880"/>
    <mergeCell ref="A863:G863"/>
    <mergeCell ref="A864:B864"/>
    <mergeCell ref="E869:F869"/>
    <mergeCell ref="A870:B870"/>
    <mergeCell ref="E873:F873"/>
    <mergeCell ref="E874:F874"/>
    <mergeCell ref="E857:F857"/>
    <mergeCell ref="E858:F858"/>
    <mergeCell ref="E859:F859"/>
    <mergeCell ref="E860:F860"/>
    <mergeCell ref="E861:F861"/>
    <mergeCell ref="C862:D862"/>
    <mergeCell ref="E899:F899"/>
    <mergeCell ref="E900:F900"/>
    <mergeCell ref="E901:F901"/>
    <mergeCell ref="E902:F902"/>
    <mergeCell ref="E903:F903"/>
    <mergeCell ref="C904:D904"/>
    <mergeCell ref="E893:F893"/>
    <mergeCell ref="E894:F894"/>
    <mergeCell ref="E895:F895"/>
    <mergeCell ref="C896:D896"/>
    <mergeCell ref="A897:G897"/>
    <mergeCell ref="A898:G898"/>
    <mergeCell ref="A881:B881"/>
    <mergeCell ref="E886:F886"/>
    <mergeCell ref="A887:B887"/>
    <mergeCell ref="E890:F890"/>
    <mergeCell ref="E891:F891"/>
    <mergeCell ref="E892:F892"/>
    <mergeCell ref="E917:F917"/>
    <mergeCell ref="E918:F918"/>
    <mergeCell ref="E919:F919"/>
    <mergeCell ref="C920:D920"/>
    <mergeCell ref="A921:G921"/>
    <mergeCell ref="A922:B922"/>
    <mergeCell ref="E911:F911"/>
    <mergeCell ref="C912:D912"/>
    <mergeCell ref="A913:G913"/>
    <mergeCell ref="A914:G914"/>
    <mergeCell ref="E915:F915"/>
    <mergeCell ref="E916:F916"/>
    <mergeCell ref="A905:G905"/>
    <mergeCell ref="A906:G906"/>
    <mergeCell ref="E907:F907"/>
    <mergeCell ref="E908:F908"/>
    <mergeCell ref="E909:F909"/>
    <mergeCell ref="E910:F910"/>
    <mergeCell ref="A949:B949"/>
    <mergeCell ref="E952:F952"/>
    <mergeCell ref="E953:F953"/>
    <mergeCell ref="E954:F954"/>
    <mergeCell ref="E955:F955"/>
    <mergeCell ref="E956:F956"/>
    <mergeCell ref="E933:F933"/>
    <mergeCell ref="E934:F934"/>
    <mergeCell ref="C935:D935"/>
    <mergeCell ref="A936:G936"/>
    <mergeCell ref="A937:B937"/>
    <mergeCell ref="E948:F948"/>
    <mergeCell ref="E925:F925"/>
    <mergeCell ref="A926:B926"/>
    <mergeCell ref="E929:F929"/>
    <mergeCell ref="E930:F930"/>
    <mergeCell ref="E931:F931"/>
    <mergeCell ref="E932:F932"/>
    <mergeCell ref="C973:D973"/>
    <mergeCell ref="A974:G974"/>
    <mergeCell ref="A975:G975"/>
    <mergeCell ref="E976:F976"/>
    <mergeCell ref="E977:F977"/>
    <mergeCell ref="E978:F978"/>
    <mergeCell ref="E967:F967"/>
    <mergeCell ref="E968:F968"/>
    <mergeCell ref="E969:F969"/>
    <mergeCell ref="E970:F970"/>
    <mergeCell ref="E971:F971"/>
    <mergeCell ref="E972:F972"/>
    <mergeCell ref="E957:F957"/>
    <mergeCell ref="C958:D958"/>
    <mergeCell ref="A959:G959"/>
    <mergeCell ref="A960:B960"/>
    <mergeCell ref="E963:F963"/>
    <mergeCell ref="A964:B964"/>
    <mergeCell ref="A991:B991"/>
    <mergeCell ref="E996:F996"/>
    <mergeCell ref="A997:B997"/>
    <mergeCell ref="E1000:F1000"/>
    <mergeCell ref="E1001:F1001"/>
    <mergeCell ref="E1002:F1002"/>
    <mergeCell ref="E985:F985"/>
    <mergeCell ref="E986:F986"/>
    <mergeCell ref="E987:F987"/>
    <mergeCell ref="E988:F988"/>
    <mergeCell ref="C989:D989"/>
    <mergeCell ref="A990:G990"/>
    <mergeCell ref="E979:F979"/>
    <mergeCell ref="E980:F980"/>
    <mergeCell ref="C981:D981"/>
    <mergeCell ref="A982:G982"/>
    <mergeCell ref="A983:G983"/>
    <mergeCell ref="E984:F984"/>
    <mergeCell ref="E1020:F1020"/>
    <mergeCell ref="E1021:F1021"/>
    <mergeCell ref="C1022:D1022"/>
    <mergeCell ref="A1023:G1023"/>
    <mergeCell ref="A1024:G1024"/>
    <mergeCell ref="E1025:F1025"/>
    <mergeCell ref="E1011:F1011"/>
    <mergeCell ref="A1012:B1012"/>
    <mergeCell ref="E1016:F1016"/>
    <mergeCell ref="E1017:F1017"/>
    <mergeCell ref="E1018:F1018"/>
    <mergeCell ref="E1019:F1019"/>
    <mergeCell ref="E1003:F1003"/>
    <mergeCell ref="E1004:F1004"/>
    <mergeCell ref="E1005:F1005"/>
    <mergeCell ref="C1006:D1006"/>
    <mergeCell ref="A1007:G1007"/>
    <mergeCell ref="A1008:B1008"/>
    <mergeCell ref="E1042:F1042"/>
    <mergeCell ref="E1043:F1043"/>
    <mergeCell ref="E1044:F1044"/>
    <mergeCell ref="C1045:D1045"/>
    <mergeCell ref="A1046:G1046"/>
    <mergeCell ref="A1047:B1047"/>
    <mergeCell ref="A1032:B1032"/>
    <mergeCell ref="E1035:F1035"/>
    <mergeCell ref="A1036:B1036"/>
    <mergeCell ref="E1039:F1039"/>
    <mergeCell ref="E1040:F1040"/>
    <mergeCell ref="E1041:F1041"/>
    <mergeCell ref="E1026:F1026"/>
    <mergeCell ref="E1027:F1027"/>
    <mergeCell ref="E1028:F1028"/>
    <mergeCell ref="E1029:F1029"/>
    <mergeCell ref="C1030:D1030"/>
    <mergeCell ref="A1031:G1031"/>
    <mergeCell ref="A1068:B1068"/>
    <mergeCell ref="E1072:F1072"/>
    <mergeCell ref="E1073:F1073"/>
    <mergeCell ref="E1074:F1074"/>
    <mergeCell ref="E1075:F1075"/>
    <mergeCell ref="E1076:F1076"/>
    <mergeCell ref="E1060:F1060"/>
    <mergeCell ref="E1061:F1061"/>
    <mergeCell ref="C1062:D1062"/>
    <mergeCell ref="A1063:G1063"/>
    <mergeCell ref="A1064:B1064"/>
    <mergeCell ref="E1067:F1067"/>
    <mergeCell ref="E1052:F1052"/>
    <mergeCell ref="A1053:B1053"/>
    <mergeCell ref="E1056:F1056"/>
    <mergeCell ref="E1057:F1057"/>
    <mergeCell ref="E1058:F1058"/>
    <mergeCell ref="E1059:F1059"/>
    <mergeCell ref="C1094:D1094"/>
    <mergeCell ref="A1095:G1095"/>
    <mergeCell ref="A1096:B1096"/>
    <mergeCell ref="E1100:F1100"/>
    <mergeCell ref="A1101:B1101"/>
    <mergeCell ref="E1104:F1104"/>
    <mergeCell ref="E1088:F1088"/>
    <mergeCell ref="E1089:F1089"/>
    <mergeCell ref="E1090:F1090"/>
    <mergeCell ref="E1091:F1091"/>
    <mergeCell ref="E1092:F1092"/>
    <mergeCell ref="E1093:F1093"/>
    <mergeCell ref="E1077:F1077"/>
    <mergeCell ref="C1078:D1078"/>
    <mergeCell ref="A1079:G1079"/>
    <mergeCell ref="A1080:B1080"/>
    <mergeCell ref="E1083:F1083"/>
    <mergeCell ref="A1084:B1084"/>
    <mergeCell ref="E1123:F1123"/>
    <mergeCell ref="E1124:F1124"/>
    <mergeCell ref="E1125:F1125"/>
    <mergeCell ref="E1126:F1126"/>
    <mergeCell ref="C1127:D1127"/>
    <mergeCell ref="A1128:G1128"/>
    <mergeCell ref="A1111:G1111"/>
    <mergeCell ref="A1112:B1112"/>
    <mergeCell ref="E1117:F1117"/>
    <mergeCell ref="A1118:B1118"/>
    <mergeCell ref="E1121:F1121"/>
    <mergeCell ref="E1122:F1122"/>
    <mergeCell ref="E1105:F1105"/>
    <mergeCell ref="E1106:F1106"/>
    <mergeCell ref="E1107:F1107"/>
    <mergeCell ref="E1108:F1108"/>
    <mergeCell ref="E1109:F1109"/>
    <mergeCell ref="C1110:D1110"/>
    <mergeCell ref="E1149:F1149"/>
    <mergeCell ref="A1150:B1150"/>
    <mergeCell ref="E1153:F1153"/>
    <mergeCell ref="E1154:F1154"/>
    <mergeCell ref="E1155:F1155"/>
    <mergeCell ref="E1156:F1156"/>
    <mergeCell ref="E1140:F1140"/>
    <mergeCell ref="E1141:F1141"/>
    <mergeCell ref="E1142:F1142"/>
    <mergeCell ref="C1143:D1143"/>
    <mergeCell ref="A1144:G1144"/>
    <mergeCell ref="A1145:B1145"/>
    <mergeCell ref="A1129:B1129"/>
    <mergeCell ref="E1133:F1133"/>
    <mergeCell ref="A1134:B1134"/>
    <mergeCell ref="E1137:F1137"/>
    <mergeCell ref="E1138:F1138"/>
    <mergeCell ref="E1139:F1139"/>
    <mergeCell ref="E1172:F1172"/>
    <mergeCell ref="C1173:D1173"/>
    <mergeCell ref="A1174:G1174"/>
    <mergeCell ref="A1175:B1175"/>
    <mergeCell ref="E1178:F1178"/>
    <mergeCell ref="A1179:B1179"/>
    <mergeCell ref="A1165:B1165"/>
    <mergeCell ref="E1167:F1167"/>
    <mergeCell ref="E1168:F1168"/>
    <mergeCell ref="E1169:F1169"/>
    <mergeCell ref="E1170:F1170"/>
    <mergeCell ref="E1171:F1171"/>
    <mergeCell ref="E1157:F1157"/>
    <mergeCell ref="E1158:F1158"/>
    <mergeCell ref="C1159:D1159"/>
    <mergeCell ref="A1160:G1160"/>
    <mergeCell ref="A1161:B1161"/>
    <mergeCell ref="E1164:F1164"/>
    <mergeCell ref="E1198:F1198"/>
    <mergeCell ref="E1199:F1199"/>
    <mergeCell ref="E1200:F1200"/>
    <mergeCell ref="E1201:F1201"/>
    <mergeCell ref="E1202:F1202"/>
    <mergeCell ref="C1203:D1203"/>
    <mergeCell ref="C1187:D1187"/>
    <mergeCell ref="A1188:G1188"/>
    <mergeCell ref="A1189:B1189"/>
    <mergeCell ref="E1192:F1192"/>
    <mergeCell ref="A1193:B1193"/>
    <mergeCell ref="E1197:F1197"/>
    <mergeCell ref="E1181:F1181"/>
    <mergeCell ref="E1182:F1182"/>
    <mergeCell ref="E1183:F1183"/>
    <mergeCell ref="E1184:F1184"/>
    <mergeCell ref="E1185:F1185"/>
    <mergeCell ref="E1186:F1186"/>
    <mergeCell ref="A1219:B1219"/>
    <mergeCell ref="E1221:F1221"/>
    <mergeCell ref="A1222:B1222"/>
    <mergeCell ref="E1226:F1226"/>
    <mergeCell ref="E1227:F1227"/>
    <mergeCell ref="E1228:F1228"/>
    <mergeCell ref="E1213:F1213"/>
    <mergeCell ref="E1214:F1214"/>
    <mergeCell ref="E1215:F1215"/>
    <mergeCell ref="E1216:F1216"/>
    <mergeCell ref="C1217:D1217"/>
    <mergeCell ref="A1218:G1218"/>
    <mergeCell ref="A1204:G1204"/>
    <mergeCell ref="A1205:B1205"/>
    <mergeCell ref="E1208:F1208"/>
    <mergeCell ref="A1209:B1209"/>
    <mergeCell ref="E1211:F1211"/>
    <mergeCell ref="E1212:F1212"/>
    <mergeCell ref="E1245:F1245"/>
    <mergeCell ref="E1246:F1246"/>
    <mergeCell ref="C1247:D1247"/>
    <mergeCell ref="A1248:G1248"/>
    <mergeCell ref="A1249:B1249"/>
    <mergeCell ref="E1251:F1251"/>
    <mergeCell ref="E1237:F1237"/>
    <mergeCell ref="A1238:B1238"/>
    <mergeCell ref="E1241:F1241"/>
    <mergeCell ref="E1242:F1242"/>
    <mergeCell ref="E1243:F1243"/>
    <mergeCell ref="E1244:F1244"/>
    <mergeCell ref="E1229:F1229"/>
    <mergeCell ref="E1230:F1230"/>
    <mergeCell ref="E1231:F1231"/>
    <mergeCell ref="C1232:D1232"/>
    <mergeCell ref="A1233:G1233"/>
    <mergeCell ref="A1234:B1234"/>
    <mergeCell ref="E1270:F1270"/>
    <mergeCell ref="E1271:F1271"/>
    <mergeCell ref="E1272:F1272"/>
    <mergeCell ref="E1273:F1273"/>
    <mergeCell ref="E1274:F1274"/>
    <mergeCell ref="E1275:F1275"/>
    <mergeCell ref="E1261:F1261"/>
    <mergeCell ref="C1262:D1262"/>
    <mergeCell ref="A1263:G1263"/>
    <mergeCell ref="A1264:B1264"/>
    <mergeCell ref="E1267:F1267"/>
    <mergeCell ref="A1268:B1268"/>
    <mergeCell ref="A1252:B1252"/>
    <mergeCell ref="E1256:F1256"/>
    <mergeCell ref="E1257:F1257"/>
    <mergeCell ref="E1258:F1258"/>
    <mergeCell ref="E1259:F1259"/>
    <mergeCell ref="E1260:F1260"/>
    <mergeCell ref="A1299:G1299"/>
    <mergeCell ref="A1300:B1300"/>
    <mergeCell ref="E1302:F1302"/>
    <mergeCell ref="A1303:B1303"/>
    <mergeCell ref="E1305:F1305"/>
    <mergeCell ref="E1306:F1306"/>
    <mergeCell ref="E1293:F1293"/>
    <mergeCell ref="E1294:F1294"/>
    <mergeCell ref="E1295:F1295"/>
    <mergeCell ref="E1296:F1296"/>
    <mergeCell ref="E1297:F1297"/>
    <mergeCell ref="C1298:D1298"/>
    <mergeCell ref="C1276:D1276"/>
    <mergeCell ref="A1277:G1277"/>
    <mergeCell ref="A1278:B1278"/>
    <mergeCell ref="E1282:F1282"/>
    <mergeCell ref="A1283:B1283"/>
    <mergeCell ref="E1292:F1292"/>
    <mergeCell ref="E1321:F1321"/>
    <mergeCell ref="C1322:D1322"/>
    <mergeCell ref="A1323:G1323"/>
    <mergeCell ref="A1324:B1324"/>
    <mergeCell ref="E1327:F1327"/>
    <mergeCell ref="E1328:F1328"/>
    <mergeCell ref="A1313:B1313"/>
    <mergeCell ref="E1316:F1316"/>
    <mergeCell ref="E1317:F1317"/>
    <mergeCell ref="E1318:F1318"/>
    <mergeCell ref="E1319:F1319"/>
    <mergeCell ref="E1320:F1320"/>
    <mergeCell ref="E1307:F1307"/>
    <mergeCell ref="E1308:F1308"/>
    <mergeCell ref="E1309:F1309"/>
    <mergeCell ref="E1310:F1310"/>
    <mergeCell ref="C1311:D1311"/>
    <mergeCell ref="A1312:G1312"/>
    <mergeCell ref="E1345:F1345"/>
    <mergeCell ref="E1346:F1346"/>
    <mergeCell ref="E1347:F1347"/>
    <mergeCell ref="C1348:D1348"/>
    <mergeCell ref="A1349:G1349"/>
    <mergeCell ref="A1350:B1350"/>
    <mergeCell ref="A1335:B1335"/>
    <mergeCell ref="E1338:F1338"/>
    <mergeCell ref="A1339:B1339"/>
    <mergeCell ref="E1342:F1342"/>
    <mergeCell ref="E1343:F1343"/>
    <mergeCell ref="E1344:F1344"/>
    <mergeCell ref="E1329:F1329"/>
    <mergeCell ref="E1330:F1330"/>
    <mergeCell ref="E1331:F1331"/>
    <mergeCell ref="E1332:F1332"/>
    <mergeCell ref="C1333:D1333"/>
    <mergeCell ref="A1334:G1334"/>
    <mergeCell ref="E1369:F1369"/>
    <mergeCell ref="A1370:B1370"/>
    <mergeCell ref="E1372:F1372"/>
    <mergeCell ref="E1373:F1373"/>
    <mergeCell ref="E1374:F1374"/>
    <mergeCell ref="E1375:F1375"/>
    <mergeCell ref="E1361:F1361"/>
    <mergeCell ref="E1362:F1362"/>
    <mergeCell ref="C1363:D1363"/>
    <mergeCell ref="A1364:G1364"/>
    <mergeCell ref="A1365:G1365"/>
    <mergeCell ref="A1366:B1366"/>
    <mergeCell ref="E1353:F1353"/>
    <mergeCell ref="A1354:B1354"/>
    <mergeCell ref="E1357:F1357"/>
    <mergeCell ref="E1358:F1358"/>
    <mergeCell ref="E1359:F1359"/>
    <mergeCell ref="E1360:F1360"/>
    <mergeCell ref="A1388:B1388"/>
    <mergeCell ref="E1391:F1391"/>
    <mergeCell ref="A1392:B1392"/>
    <mergeCell ref="E1396:F1396"/>
    <mergeCell ref="E1397:F1397"/>
    <mergeCell ref="E1398:F1398"/>
    <mergeCell ref="E1382:F1382"/>
    <mergeCell ref="E1383:F1383"/>
    <mergeCell ref="E1384:F1384"/>
    <mergeCell ref="E1385:F1385"/>
    <mergeCell ref="C1386:D1386"/>
    <mergeCell ref="A1387:G1387"/>
    <mergeCell ref="E1376:F1376"/>
    <mergeCell ref="E1377:F1377"/>
    <mergeCell ref="C1378:D1378"/>
    <mergeCell ref="A1379:G1379"/>
    <mergeCell ref="A1380:G1380"/>
    <mergeCell ref="E1381:F1381"/>
    <mergeCell ref="E1416:F1416"/>
    <mergeCell ref="E1417:F1417"/>
    <mergeCell ref="C1418:D1418"/>
    <mergeCell ref="A1419:G1419"/>
    <mergeCell ref="A1420:B1420"/>
    <mergeCell ref="E1423:F1423"/>
    <mergeCell ref="E1407:F1407"/>
    <mergeCell ref="A1408:B1408"/>
    <mergeCell ref="E1412:F1412"/>
    <mergeCell ref="E1413:F1413"/>
    <mergeCell ref="E1414:F1414"/>
    <mergeCell ref="E1415:F1415"/>
    <mergeCell ref="E1399:F1399"/>
    <mergeCell ref="E1400:F1400"/>
    <mergeCell ref="E1401:F1401"/>
    <mergeCell ref="C1402:D1402"/>
    <mergeCell ref="A1403:G1403"/>
    <mergeCell ref="A1404:B1404"/>
    <mergeCell ref="E1443:F1443"/>
    <mergeCell ref="E1444:F1444"/>
    <mergeCell ref="E1445:F1445"/>
    <mergeCell ref="E1446:F1446"/>
    <mergeCell ref="E1447:F1447"/>
    <mergeCell ref="E1448:F1448"/>
    <mergeCell ref="E1435:F1435"/>
    <mergeCell ref="C1436:D1436"/>
    <mergeCell ref="A1437:G1437"/>
    <mergeCell ref="A1438:B1438"/>
    <mergeCell ref="E1440:F1440"/>
    <mergeCell ref="A1441:B1441"/>
    <mergeCell ref="A1424:B1424"/>
    <mergeCell ref="E1430:F1430"/>
    <mergeCell ref="E1431:F1431"/>
    <mergeCell ref="E1432:F1432"/>
    <mergeCell ref="E1433:F1433"/>
    <mergeCell ref="E1434:F1434"/>
    <mergeCell ref="A1463:G1463"/>
    <mergeCell ref="A1464:B1464"/>
    <mergeCell ref="E1468:F1468"/>
    <mergeCell ref="A1469:B1469"/>
    <mergeCell ref="E1473:F1473"/>
    <mergeCell ref="E1474:F1474"/>
    <mergeCell ref="E1457:F1457"/>
    <mergeCell ref="E1458:F1458"/>
    <mergeCell ref="E1459:F1459"/>
    <mergeCell ref="E1460:F1460"/>
    <mergeCell ref="E1461:F1461"/>
    <mergeCell ref="C1462:D1462"/>
    <mergeCell ref="C1449:D1449"/>
    <mergeCell ref="A1450:G1450"/>
    <mergeCell ref="A1451:B1451"/>
    <mergeCell ref="E1453:F1453"/>
    <mergeCell ref="A1454:B1454"/>
    <mergeCell ref="E1456:F1456"/>
    <mergeCell ref="E1493:F1493"/>
    <mergeCell ref="C1494:D1494"/>
    <mergeCell ref="A1495:G1495"/>
    <mergeCell ref="A1500:B1500"/>
    <mergeCell ref="E1502:F1502"/>
    <mergeCell ref="E1503:F1503"/>
    <mergeCell ref="A1485:B1485"/>
    <mergeCell ref="E1488:F1488"/>
    <mergeCell ref="E1489:F1489"/>
    <mergeCell ref="E1490:F1490"/>
    <mergeCell ref="E1491:F1491"/>
    <mergeCell ref="E1492:F1492"/>
    <mergeCell ref="E1475:F1475"/>
    <mergeCell ref="E1476:F1476"/>
    <mergeCell ref="E1477:F1477"/>
    <mergeCell ref="E1478:F1478"/>
    <mergeCell ref="C1479:D1479"/>
    <mergeCell ref="A1480:G1480"/>
    <mergeCell ref="E1520:F1520"/>
    <mergeCell ref="E1521:F1521"/>
    <mergeCell ref="E1522:F1522"/>
    <mergeCell ref="C1523:D1523"/>
    <mergeCell ref="A1524:G1524"/>
    <mergeCell ref="A1525:B1525"/>
    <mergeCell ref="A1510:B1510"/>
    <mergeCell ref="E1513:F1513"/>
    <mergeCell ref="A1514:B1514"/>
    <mergeCell ref="E1517:F1517"/>
    <mergeCell ref="E1518:F1518"/>
    <mergeCell ref="E1519:F1519"/>
    <mergeCell ref="E1504:F1504"/>
    <mergeCell ref="E1505:F1505"/>
    <mergeCell ref="E1506:F1506"/>
    <mergeCell ref="E1507:F1507"/>
    <mergeCell ref="C1508:D1508"/>
    <mergeCell ref="A1509:G1509"/>
    <mergeCell ref="A1554:G1554"/>
    <mergeCell ref="A1555:B1555"/>
    <mergeCell ref="E1558:F1558"/>
    <mergeCell ref="A1559:B1559"/>
    <mergeCell ref="A1544:B1544"/>
    <mergeCell ref="E1547:F1547"/>
    <mergeCell ref="E1548:F1548"/>
    <mergeCell ref="E1549:F1549"/>
    <mergeCell ref="E1550:F1550"/>
    <mergeCell ref="E1551:F1551"/>
    <mergeCell ref="E1536:F1536"/>
    <mergeCell ref="E1537:F1537"/>
    <mergeCell ref="C1538:D1538"/>
    <mergeCell ref="A1539:G1539"/>
    <mergeCell ref="A1540:B1540"/>
    <mergeCell ref="E1543:F1543"/>
    <mergeCell ref="E1528:F1528"/>
    <mergeCell ref="A1529:B1529"/>
    <mergeCell ref="E1532:F1532"/>
    <mergeCell ref="E1533:F1533"/>
    <mergeCell ref="E1534:F1534"/>
    <mergeCell ref="E1535:F1535"/>
    <mergeCell ref="E1594:F1594"/>
    <mergeCell ref="E1595:F1595"/>
    <mergeCell ref="E1596:F1596"/>
    <mergeCell ref="E1597:F1597"/>
    <mergeCell ref="A2:C2"/>
    <mergeCell ref="A4:G4"/>
    <mergeCell ref="A1586:G1586"/>
    <mergeCell ref="A1587:B1587"/>
    <mergeCell ref="E1589:F1589"/>
    <mergeCell ref="A1590:B1590"/>
    <mergeCell ref="E1592:F1592"/>
    <mergeCell ref="E1593:F1593"/>
    <mergeCell ref="E1580:F1580"/>
    <mergeCell ref="E1581:F1581"/>
    <mergeCell ref="E1582:F1582"/>
    <mergeCell ref="E1583:F1583"/>
    <mergeCell ref="E1584:F1584"/>
    <mergeCell ref="C1585:D1585"/>
    <mergeCell ref="C1568:D1568"/>
    <mergeCell ref="A1569:G1569"/>
    <mergeCell ref="A1570:B1570"/>
    <mergeCell ref="E1573:F1573"/>
    <mergeCell ref="A1574:B1574"/>
    <mergeCell ref="E1579:F1579"/>
    <mergeCell ref="E1562:F1562"/>
    <mergeCell ref="E1563:F1563"/>
    <mergeCell ref="E1564:F1564"/>
    <mergeCell ref="E1565:F1565"/>
    <mergeCell ref="E1566:F1566"/>
    <mergeCell ref="E1567:F1567"/>
    <mergeCell ref="E1552:F1552"/>
    <mergeCell ref="C1553:D1553"/>
  </mergeCells>
  <pageMargins left="0.27777777777777779" right="0.27777777777777779" top="0.27777777777777779" bottom="0.27777777777777779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9"/>
  <sheetViews>
    <sheetView view="pageBreakPreview" zoomScale="85" zoomScaleNormal="100" zoomScaleSheetLayoutView="85" workbookViewId="0">
      <selection activeCell="M6" sqref="M6"/>
    </sheetView>
  </sheetViews>
  <sheetFormatPr defaultRowHeight="15"/>
  <cols>
    <col min="1" max="1" width="9.28515625" style="10" customWidth="1"/>
    <col min="2" max="2" width="34.7109375" style="10" customWidth="1"/>
    <col min="3" max="3" width="13.7109375" style="10" customWidth="1"/>
    <col min="4" max="7" width="11.85546875" style="10" customWidth="1"/>
    <col min="8" max="8" width="10.140625" style="10" customWidth="1"/>
    <col min="9" max="9" width="1.7109375" style="10" customWidth="1"/>
    <col min="10" max="10" width="11.85546875" style="10" customWidth="1"/>
    <col min="11" max="11" width="12.140625" style="10" customWidth="1"/>
    <col min="12" max="16384" width="9.140625" style="10"/>
  </cols>
  <sheetData>
    <row r="1" spans="1:11" ht="15.75" thickTop="1">
      <c r="A1" s="20" t="s">
        <v>968</v>
      </c>
      <c r="B1" s="21"/>
      <c r="C1" s="21"/>
      <c r="G1" s="22"/>
      <c r="H1" s="22"/>
    </row>
    <row r="2" spans="1:11">
      <c r="A2" s="133" t="s">
        <v>1039</v>
      </c>
      <c r="B2" s="134"/>
      <c r="C2" s="134"/>
      <c r="G2" s="22"/>
      <c r="H2" s="22"/>
    </row>
    <row r="3" spans="1:11">
      <c r="A3" s="23" t="s">
        <v>969</v>
      </c>
      <c r="B3" s="24"/>
      <c r="C3" s="25"/>
      <c r="G3" s="22"/>
      <c r="H3" s="22"/>
    </row>
    <row r="4" spans="1:11" ht="21" customHeight="1">
      <c r="A4" s="184" t="s">
        <v>970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</row>
    <row r="5" spans="1:11" ht="17.100000000000001" customHeight="1">
      <c r="A5" s="26" t="s">
        <v>971</v>
      </c>
      <c r="B5" s="26" t="s">
        <v>972</v>
      </c>
      <c r="C5" s="26" t="s">
        <v>973</v>
      </c>
      <c r="D5" s="26" t="s">
        <v>974</v>
      </c>
      <c r="E5" s="26" t="s">
        <v>975</v>
      </c>
      <c r="F5" s="26" t="s">
        <v>976</v>
      </c>
      <c r="G5" s="26" t="s">
        <v>977</v>
      </c>
      <c r="H5" s="185" t="s">
        <v>978</v>
      </c>
      <c r="I5" s="186"/>
      <c r="J5" s="26" t="s">
        <v>979</v>
      </c>
      <c r="K5" s="26" t="s">
        <v>980</v>
      </c>
    </row>
    <row r="6" spans="1:11" ht="12" customHeight="1">
      <c r="A6" s="172" t="s">
        <v>981</v>
      </c>
      <c r="B6" s="174" t="s">
        <v>982</v>
      </c>
      <c r="C6" s="176">
        <v>4935.9799999999996</v>
      </c>
      <c r="D6" s="27">
        <v>100</v>
      </c>
      <c r="E6" s="28"/>
      <c r="F6" s="28"/>
      <c r="G6" s="28"/>
      <c r="H6" s="29"/>
      <c r="I6" s="30"/>
      <c r="J6" s="28"/>
      <c r="K6" s="31">
        <v>100</v>
      </c>
    </row>
    <row r="7" spans="1:11" ht="12.95" customHeight="1">
      <c r="A7" s="173"/>
      <c r="B7" s="175"/>
      <c r="C7" s="177"/>
      <c r="D7" s="32">
        <v>4935.9799999999996</v>
      </c>
      <c r="E7" s="33"/>
      <c r="F7" s="33"/>
      <c r="G7" s="33"/>
      <c r="H7" s="34"/>
      <c r="I7" s="35"/>
      <c r="J7" s="33"/>
      <c r="K7" s="36">
        <v>4935.9799999999996</v>
      </c>
    </row>
    <row r="8" spans="1:11" ht="12" customHeight="1">
      <c r="A8" s="172" t="s">
        <v>983</v>
      </c>
      <c r="B8" s="174" t="s">
        <v>984</v>
      </c>
      <c r="C8" s="176">
        <v>6803.8</v>
      </c>
      <c r="D8" s="27">
        <v>100</v>
      </c>
      <c r="E8" s="28"/>
      <c r="F8" s="28"/>
      <c r="G8" s="28"/>
      <c r="H8" s="29"/>
      <c r="I8" s="30"/>
      <c r="J8" s="28"/>
      <c r="K8" s="31">
        <v>100</v>
      </c>
    </row>
    <row r="9" spans="1:11" ht="12.95" customHeight="1">
      <c r="A9" s="173"/>
      <c r="B9" s="175"/>
      <c r="C9" s="177"/>
      <c r="D9" s="32">
        <v>6803.8</v>
      </c>
      <c r="E9" s="33"/>
      <c r="F9" s="33"/>
      <c r="G9" s="33"/>
      <c r="H9" s="34"/>
      <c r="I9" s="35"/>
      <c r="J9" s="33"/>
      <c r="K9" s="36">
        <v>6803.8</v>
      </c>
    </row>
    <row r="10" spans="1:11" ht="12" customHeight="1">
      <c r="A10" s="172" t="s">
        <v>985</v>
      </c>
      <c r="B10" s="174" t="s">
        <v>986</v>
      </c>
      <c r="C10" s="176">
        <v>54715.35</v>
      </c>
      <c r="D10" s="27">
        <v>50</v>
      </c>
      <c r="E10" s="27">
        <v>20</v>
      </c>
      <c r="F10" s="27">
        <v>30</v>
      </c>
      <c r="G10" s="28"/>
      <c r="H10" s="29"/>
      <c r="I10" s="30"/>
      <c r="J10" s="28"/>
      <c r="K10" s="31">
        <v>100</v>
      </c>
    </row>
    <row r="11" spans="1:11" ht="12.95" customHeight="1">
      <c r="A11" s="173"/>
      <c r="B11" s="175"/>
      <c r="C11" s="177"/>
      <c r="D11" s="32">
        <v>27357.68</v>
      </c>
      <c r="E11" s="32">
        <v>10943.07</v>
      </c>
      <c r="F11" s="32">
        <v>16414.599999999999</v>
      </c>
      <c r="G11" s="33"/>
      <c r="H11" s="34"/>
      <c r="I11" s="35"/>
      <c r="J11" s="33"/>
      <c r="K11" s="36">
        <v>54715.35</v>
      </c>
    </row>
    <row r="12" spans="1:11" ht="12" customHeight="1">
      <c r="A12" s="172" t="s">
        <v>987</v>
      </c>
      <c r="B12" s="174" t="s">
        <v>988</v>
      </c>
      <c r="C12" s="176">
        <v>4704.26</v>
      </c>
      <c r="D12" s="28"/>
      <c r="E12" s="27">
        <v>30</v>
      </c>
      <c r="F12" s="28"/>
      <c r="G12" s="27">
        <v>70</v>
      </c>
      <c r="H12" s="29"/>
      <c r="I12" s="30"/>
      <c r="J12" s="28"/>
      <c r="K12" s="31">
        <v>100</v>
      </c>
    </row>
    <row r="13" spans="1:11" ht="12.95" customHeight="1">
      <c r="A13" s="173"/>
      <c r="B13" s="175"/>
      <c r="C13" s="177"/>
      <c r="D13" s="33"/>
      <c r="E13" s="32">
        <v>1411.28</v>
      </c>
      <c r="F13" s="33"/>
      <c r="G13" s="32">
        <v>3292.98</v>
      </c>
      <c r="H13" s="34"/>
      <c r="I13" s="35"/>
      <c r="J13" s="33"/>
      <c r="K13" s="36">
        <v>4704.26</v>
      </c>
    </row>
    <row r="14" spans="1:11" ht="12" customHeight="1">
      <c r="A14" s="172" t="s">
        <v>989</v>
      </c>
      <c r="B14" s="174" t="s">
        <v>990</v>
      </c>
      <c r="C14" s="176">
        <v>19732.25</v>
      </c>
      <c r="D14" s="28"/>
      <c r="E14" s="27">
        <v>40</v>
      </c>
      <c r="F14" s="27">
        <v>60</v>
      </c>
      <c r="G14" s="28"/>
      <c r="H14" s="29"/>
      <c r="I14" s="30"/>
      <c r="J14" s="28"/>
      <c r="K14" s="31">
        <v>100</v>
      </c>
    </row>
    <row r="15" spans="1:11" ht="12.95" customHeight="1">
      <c r="A15" s="173"/>
      <c r="B15" s="175"/>
      <c r="C15" s="177"/>
      <c r="D15" s="33"/>
      <c r="E15" s="32">
        <v>7892.9</v>
      </c>
      <c r="F15" s="32">
        <v>11839.35</v>
      </c>
      <c r="G15" s="33"/>
      <c r="H15" s="34"/>
      <c r="I15" s="35"/>
      <c r="J15" s="33"/>
      <c r="K15" s="36">
        <v>19732.25</v>
      </c>
    </row>
    <row r="16" spans="1:11" ht="12" customHeight="1">
      <c r="A16" s="172" t="s">
        <v>991</v>
      </c>
      <c r="B16" s="174" t="s">
        <v>992</v>
      </c>
      <c r="C16" s="176">
        <v>112.92</v>
      </c>
      <c r="D16" s="28"/>
      <c r="E16" s="28"/>
      <c r="F16" s="28"/>
      <c r="G16" s="27">
        <v>100</v>
      </c>
      <c r="H16" s="29"/>
      <c r="I16" s="30"/>
      <c r="J16" s="28"/>
      <c r="K16" s="31">
        <v>100</v>
      </c>
    </row>
    <row r="17" spans="1:11" ht="12.95" customHeight="1">
      <c r="A17" s="173"/>
      <c r="B17" s="175"/>
      <c r="C17" s="177"/>
      <c r="D17" s="33"/>
      <c r="E17" s="33"/>
      <c r="F17" s="33"/>
      <c r="G17" s="32">
        <v>112.92</v>
      </c>
      <c r="H17" s="34"/>
      <c r="I17" s="35"/>
      <c r="J17" s="33"/>
      <c r="K17" s="36">
        <v>112.92</v>
      </c>
    </row>
    <row r="18" spans="1:11" ht="12" customHeight="1">
      <c r="A18" s="172" t="s">
        <v>993</v>
      </c>
      <c r="B18" s="174" t="s">
        <v>994</v>
      </c>
      <c r="C18" s="176">
        <v>4235.54</v>
      </c>
      <c r="D18" s="28"/>
      <c r="E18" s="28"/>
      <c r="F18" s="28"/>
      <c r="G18" s="27">
        <v>100</v>
      </c>
      <c r="H18" s="29"/>
      <c r="I18" s="30"/>
      <c r="J18" s="28"/>
      <c r="K18" s="31">
        <v>100</v>
      </c>
    </row>
    <row r="19" spans="1:11" ht="12.95" customHeight="1">
      <c r="A19" s="173"/>
      <c r="B19" s="175"/>
      <c r="C19" s="177"/>
      <c r="D19" s="33"/>
      <c r="E19" s="33"/>
      <c r="F19" s="33"/>
      <c r="G19" s="32">
        <v>4235.54</v>
      </c>
      <c r="H19" s="34"/>
      <c r="I19" s="35"/>
      <c r="J19" s="33"/>
      <c r="K19" s="36">
        <v>4235.54</v>
      </c>
    </row>
    <row r="20" spans="1:11" ht="12" customHeight="1">
      <c r="A20" s="172" t="s">
        <v>995</v>
      </c>
      <c r="B20" s="174" t="s">
        <v>996</v>
      </c>
      <c r="C20" s="176">
        <v>21547.15</v>
      </c>
      <c r="D20" s="28"/>
      <c r="E20" s="28"/>
      <c r="F20" s="28"/>
      <c r="G20" s="28"/>
      <c r="H20" s="178">
        <v>100</v>
      </c>
      <c r="I20" s="179"/>
      <c r="J20" s="28"/>
      <c r="K20" s="31">
        <v>100</v>
      </c>
    </row>
    <row r="21" spans="1:11" ht="12.95" customHeight="1">
      <c r="A21" s="173"/>
      <c r="B21" s="175"/>
      <c r="C21" s="177"/>
      <c r="D21" s="33"/>
      <c r="E21" s="33"/>
      <c r="F21" s="33"/>
      <c r="G21" s="33"/>
      <c r="H21" s="170">
        <v>21547.15</v>
      </c>
      <c r="I21" s="171"/>
      <c r="J21" s="33"/>
      <c r="K21" s="36">
        <v>21547.15</v>
      </c>
    </row>
    <row r="22" spans="1:11" ht="12" customHeight="1">
      <c r="A22" s="172" t="s">
        <v>997</v>
      </c>
      <c r="B22" s="174" t="s">
        <v>998</v>
      </c>
      <c r="C22" s="176">
        <v>38238.559999999998</v>
      </c>
      <c r="D22" s="28"/>
      <c r="E22" s="28"/>
      <c r="F22" s="28"/>
      <c r="G22" s="27">
        <v>30</v>
      </c>
      <c r="H22" s="178">
        <v>70</v>
      </c>
      <c r="I22" s="179"/>
      <c r="J22" s="28"/>
      <c r="K22" s="31">
        <v>100</v>
      </c>
    </row>
    <row r="23" spans="1:11" ht="12.95" customHeight="1">
      <c r="A23" s="173"/>
      <c r="B23" s="175"/>
      <c r="C23" s="177"/>
      <c r="D23" s="33"/>
      <c r="E23" s="33"/>
      <c r="F23" s="33"/>
      <c r="G23" s="32">
        <v>11471.57</v>
      </c>
      <c r="H23" s="170">
        <v>26766.99</v>
      </c>
      <c r="I23" s="171"/>
      <c r="J23" s="33"/>
      <c r="K23" s="36">
        <v>38238.559999999998</v>
      </c>
    </row>
    <row r="24" spans="1:11" ht="12" customHeight="1">
      <c r="A24" s="172" t="s">
        <v>999</v>
      </c>
      <c r="B24" s="174" t="s">
        <v>1000</v>
      </c>
      <c r="C24" s="176">
        <v>57982.79</v>
      </c>
      <c r="D24" s="28"/>
      <c r="E24" s="28"/>
      <c r="F24" s="27">
        <v>30</v>
      </c>
      <c r="G24" s="27">
        <v>30</v>
      </c>
      <c r="H24" s="178">
        <v>40</v>
      </c>
      <c r="I24" s="179"/>
      <c r="J24" s="28"/>
      <c r="K24" s="31">
        <v>100</v>
      </c>
    </row>
    <row r="25" spans="1:11" ht="12.95" customHeight="1">
      <c r="A25" s="173"/>
      <c r="B25" s="175"/>
      <c r="C25" s="177"/>
      <c r="D25" s="33"/>
      <c r="E25" s="33"/>
      <c r="F25" s="32">
        <v>17394.84</v>
      </c>
      <c r="G25" s="32">
        <v>17394.84</v>
      </c>
      <c r="H25" s="170">
        <v>23193.11</v>
      </c>
      <c r="I25" s="171"/>
      <c r="J25" s="33"/>
      <c r="K25" s="36">
        <v>57982.79</v>
      </c>
    </row>
    <row r="26" spans="1:11" ht="12" customHeight="1">
      <c r="A26" s="172" t="s">
        <v>1001</v>
      </c>
      <c r="B26" s="174" t="s">
        <v>1002</v>
      </c>
      <c r="C26" s="176">
        <v>108762.7</v>
      </c>
      <c r="D26" s="28"/>
      <c r="E26" s="28"/>
      <c r="F26" s="28"/>
      <c r="G26" s="27">
        <v>40</v>
      </c>
      <c r="H26" s="178">
        <v>60</v>
      </c>
      <c r="I26" s="179"/>
      <c r="J26" s="28"/>
      <c r="K26" s="31">
        <v>100</v>
      </c>
    </row>
    <row r="27" spans="1:11" ht="12.95" customHeight="1">
      <c r="A27" s="173"/>
      <c r="B27" s="175"/>
      <c r="C27" s="177"/>
      <c r="D27" s="33"/>
      <c r="E27" s="33"/>
      <c r="F27" s="33"/>
      <c r="G27" s="32">
        <v>43505.08</v>
      </c>
      <c r="H27" s="170">
        <v>65257.62</v>
      </c>
      <c r="I27" s="171"/>
      <c r="J27" s="33"/>
      <c r="K27" s="36">
        <v>108762.7</v>
      </c>
    </row>
    <row r="28" spans="1:11" ht="12" customHeight="1">
      <c r="A28" s="172" t="s">
        <v>1003</v>
      </c>
      <c r="B28" s="174" t="s">
        <v>1004</v>
      </c>
      <c r="C28" s="176">
        <v>2772.71</v>
      </c>
      <c r="D28" s="28"/>
      <c r="E28" s="28"/>
      <c r="F28" s="28"/>
      <c r="G28" s="27">
        <v>100</v>
      </c>
      <c r="H28" s="29"/>
      <c r="I28" s="30"/>
      <c r="J28" s="28"/>
      <c r="K28" s="31">
        <v>100</v>
      </c>
    </row>
    <row r="29" spans="1:11" ht="12.95" customHeight="1">
      <c r="A29" s="173"/>
      <c r="B29" s="175"/>
      <c r="C29" s="177"/>
      <c r="D29" s="33"/>
      <c r="E29" s="33"/>
      <c r="F29" s="33"/>
      <c r="G29" s="32">
        <v>2772.71</v>
      </c>
      <c r="H29" s="34"/>
      <c r="I29" s="35"/>
      <c r="J29" s="33"/>
      <c r="K29" s="36">
        <v>2772.71</v>
      </c>
    </row>
    <row r="30" spans="1:11" ht="12" customHeight="1">
      <c r="A30" s="172" t="s">
        <v>1005</v>
      </c>
      <c r="B30" s="174" t="s">
        <v>1006</v>
      </c>
      <c r="C30" s="176">
        <v>6558.43</v>
      </c>
      <c r="D30" s="28"/>
      <c r="E30" s="28"/>
      <c r="F30" s="28"/>
      <c r="G30" s="27">
        <v>100</v>
      </c>
      <c r="H30" s="29"/>
      <c r="I30" s="30"/>
      <c r="J30" s="28"/>
      <c r="K30" s="31">
        <v>100</v>
      </c>
    </row>
    <row r="31" spans="1:11" ht="12.95" customHeight="1">
      <c r="A31" s="173"/>
      <c r="B31" s="175"/>
      <c r="C31" s="177"/>
      <c r="D31" s="33"/>
      <c r="E31" s="33"/>
      <c r="F31" s="33"/>
      <c r="G31" s="32">
        <v>6558.43</v>
      </c>
      <c r="H31" s="34"/>
      <c r="I31" s="35"/>
      <c r="J31" s="33"/>
      <c r="K31" s="36">
        <v>6558.43</v>
      </c>
    </row>
    <row r="32" spans="1:11" ht="12" customHeight="1">
      <c r="A32" s="172" t="s">
        <v>1007</v>
      </c>
      <c r="B32" s="174" t="s">
        <v>1008</v>
      </c>
      <c r="C32" s="176">
        <v>32211.87</v>
      </c>
      <c r="D32" s="28"/>
      <c r="E32" s="28"/>
      <c r="F32" s="28"/>
      <c r="G32" s="28"/>
      <c r="H32" s="178">
        <v>60</v>
      </c>
      <c r="I32" s="179"/>
      <c r="J32" s="27">
        <v>40</v>
      </c>
      <c r="K32" s="31">
        <v>100</v>
      </c>
    </row>
    <row r="33" spans="1:11" ht="12.95" customHeight="1">
      <c r="A33" s="173"/>
      <c r="B33" s="175"/>
      <c r="C33" s="177"/>
      <c r="D33" s="33"/>
      <c r="E33" s="33"/>
      <c r="F33" s="33"/>
      <c r="G33" s="33"/>
      <c r="H33" s="170">
        <v>19327.12</v>
      </c>
      <c r="I33" s="171"/>
      <c r="J33" s="32">
        <v>12884.75</v>
      </c>
      <c r="K33" s="36">
        <v>32211.87</v>
      </c>
    </row>
    <row r="34" spans="1:11" ht="12" customHeight="1">
      <c r="A34" s="172" t="s">
        <v>1009</v>
      </c>
      <c r="B34" s="174" t="s">
        <v>1010</v>
      </c>
      <c r="C34" s="176">
        <v>12209.83</v>
      </c>
      <c r="D34" s="28"/>
      <c r="E34" s="28"/>
      <c r="F34" s="28"/>
      <c r="G34" s="28"/>
      <c r="H34" s="29"/>
      <c r="I34" s="30"/>
      <c r="J34" s="27">
        <v>100</v>
      </c>
      <c r="K34" s="31">
        <v>100</v>
      </c>
    </row>
    <row r="35" spans="1:11" ht="12.95" customHeight="1">
      <c r="A35" s="173"/>
      <c r="B35" s="175"/>
      <c r="C35" s="177"/>
      <c r="D35" s="33"/>
      <c r="E35" s="33"/>
      <c r="F35" s="33"/>
      <c r="G35" s="33"/>
      <c r="H35" s="34"/>
      <c r="I35" s="35"/>
      <c r="J35" s="32">
        <v>12209.83</v>
      </c>
      <c r="K35" s="36">
        <v>12209.83</v>
      </c>
    </row>
    <row r="36" spans="1:11" ht="12" customHeight="1">
      <c r="A36" s="172" t="s">
        <v>1011</v>
      </c>
      <c r="B36" s="174" t="s">
        <v>1012</v>
      </c>
      <c r="C36" s="176">
        <v>3925.16</v>
      </c>
      <c r="D36" s="28"/>
      <c r="E36" s="28"/>
      <c r="F36" s="28"/>
      <c r="G36" s="28"/>
      <c r="H36" s="29"/>
      <c r="I36" s="30"/>
      <c r="J36" s="27">
        <v>100</v>
      </c>
      <c r="K36" s="31">
        <v>100</v>
      </c>
    </row>
    <row r="37" spans="1:11" ht="12.95" customHeight="1">
      <c r="A37" s="173"/>
      <c r="B37" s="175"/>
      <c r="C37" s="177"/>
      <c r="D37" s="33"/>
      <c r="E37" s="33"/>
      <c r="F37" s="33"/>
      <c r="G37" s="33"/>
      <c r="H37" s="34"/>
      <c r="I37" s="35"/>
      <c r="J37" s="32">
        <v>3925.16</v>
      </c>
      <c r="K37" s="36">
        <v>3925.16</v>
      </c>
    </row>
    <row r="38" spans="1:11" ht="12" customHeight="1">
      <c r="A38" s="37"/>
      <c r="B38" s="38"/>
      <c r="C38" s="180">
        <v>379449.3</v>
      </c>
      <c r="D38" s="39">
        <v>39097.46</v>
      </c>
      <c r="E38" s="39">
        <v>20247.25</v>
      </c>
      <c r="F38" s="39">
        <v>45648.79</v>
      </c>
      <c r="G38" s="39">
        <v>89344.07</v>
      </c>
      <c r="H38" s="182">
        <v>156091.99</v>
      </c>
      <c r="I38" s="183"/>
      <c r="J38" s="39">
        <v>29019.74</v>
      </c>
      <c r="K38" s="170">
        <v>379449.3</v>
      </c>
    </row>
    <row r="39" spans="1:11" ht="12.95" customHeight="1">
      <c r="A39" s="40"/>
      <c r="B39" s="41"/>
      <c r="C39" s="181"/>
      <c r="D39" s="32">
        <v>39097.46</v>
      </c>
      <c r="E39" s="32">
        <v>59344.71</v>
      </c>
      <c r="F39" s="32">
        <v>104993.5</v>
      </c>
      <c r="G39" s="32">
        <v>194337.57</v>
      </c>
      <c r="H39" s="170">
        <v>350429.56</v>
      </c>
      <c r="I39" s="171"/>
      <c r="J39" s="32">
        <v>379449.3</v>
      </c>
      <c r="K39" s="171"/>
    </row>
  </sheetData>
  <mergeCells count="65">
    <mergeCell ref="A2:C2"/>
    <mergeCell ref="A4:K4"/>
    <mergeCell ref="H5:I5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2:A23"/>
    <mergeCell ref="B22:B23"/>
    <mergeCell ref="C22:C23"/>
    <mergeCell ref="H22:I22"/>
    <mergeCell ref="H23:I23"/>
    <mergeCell ref="A20:A21"/>
    <mergeCell ref="B20:B21"/>
    <mergeCell ref="C20:C21"/>
    <mergeCell ref="H20:I20"/>
    <mergeCell ref="H21:I21"/>
    <mergeCell ref="A26:A27"/>
    <mergeCell ref="B26:B27"/>
    <mergeCell ref="C26:C27"/>
    <mergeCell ref="H26:I26"/>
    <mergeCell ref="H27:I27"/>
    <mergeCell ref="A24:A25"/>
    <mergeCell ref="B24:B25"/>
    <mergeCell ref="C24:C25"/>
    <mergeCell ref="H24:I24"/>
    <mergeCell ref="H25:I25"/>
    <mergeCell ref="A28:A29"/>
    <mergeCell ref="B28:B29"/>
    <mergeCell ref="C28:C29"/>
    <mergeCell ref="A30:A31"/>
    <mergeCell ref="B30:B31"/>
    <mergeCell ref="C30:C31"/>
    <mergeCell ref="K38:K39"/>
    <mergeCell ref="H39:I39"/>
    <mergeCell ref="A32:A33"/>
    <mergeCell ref="B32:B33"/>
    <mergeCell ref="C32:C33"/>
    <mergeCell ref="H32:I32"/>
    <mergeCell ref="H33:I33"/>
    <mergeCell ref="A34:A35"/>
    <mergeCell ref="B34:B35"/>
    <mergeCell ref="C34:C35"/>
    <mergeCell ref="A36:A37"/>
    <mergeCell ref="B36:B37"/>
    <mergeCell ref="C36:C37"/>
    <mergeCell ref="C38:C39"/>
    <mergeCell ref="H38:I38"/>
  </mergeCells>
  <pageMargins left="0.27777777777777779" right="0.27777777777777779" top="0" bottom="0.27777777777777779" header="0" footer="0"/>
  <pageSetup scale="8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4.9989318521683403E-2"/>
    <outlinePr summaryBelow="0"/>
    <pageSetUpPr fitToPage="1"/>
  </sheetPr>
  <dimension ref="A1:J30"/>
  <sheetViews>
    <sheetView view="pageBreakPreview" zoomScaleNormal="100" zoomScaleSheetLayoutView="100" workbookViewId="0">
      <selection activeCell="F9" sqref="F9"/>
    </sheetView>
  </sheetViews>
  <sheetFormatPr defaultColWidth="72.42578125" defaultRowHeight="12.75"/>
  <cols>
    <col min="1" max="1" width="12.7109375" style="72" customWidth="1"/>
    <col min="2" max="2" width="72.42578125" style="72" customWidth="1"/>
    <col min="3" max="3" width="15.7109375" style="72" customWidth="1"/>
    <col min="4" max="9" width="9.140625" style="72" customWidth="1"/>
    <col min="10" max="10" width="17.42578125" style="72" bestFit="1" customWidth="1"/>
    <col min="11" max="254" width="9.140625" style="72" customWidth="1"/>
    <col min="255" max="255" width="12.7109375" style="72" customWidth="1"/>
    <col min="256" max="256" width="72.42578125" style="72"/>
    <col min="257" max="257" width="12.7109375" style="72" customWidth="1"/>
    <col min="258" max="258" width="72.42578125" style="72" customWidth="1"/>
    <col min="259" max="259" width="15.7109375" style="72" customWidth="1"/>
    <col min="260" max="265" width="9.140625" style="72" customWidth="1"/>
    <col min="266" max="266" width="17.42578125" style="72" bestFit="1" customWidth="1"/>
    <col min="267" max="510" width="9.140625" style="72" customWidth="1"/>
    <col min="511" max="511" width="12.7109375" style="72" customWidth="1"/>
    <col min="512" max="512" width="72.42578125" style="72"/>
    <col min="513" max="513" width="12.7109375" style="72" customWidth="1"/>
    <col min="514" max="514" width="72.42578125" style="72" customWidth="1"/>
    <col min="515" max="515" width="15.7109375" style="72" customWidth="1"/>
    <col min="516" max="521" width="9.140625" style="72" customWidth="1"/>
    <col min="522" max="522" width="17.42578125" style="72" bestFit="1" customWidth="1"/>
    <col min="523" max="766" width="9.140625" style="72" customWidth="1"/>
    <col min="767" max="767" width="12.7109375" style="72" customWidth="1"/>
    <col min="768" max="768" width="72.42578125" style="72"/>
    <col min="769" max="769" width="12.7109375" style="72" customWidth="1"/>
    <col min="770" max="770" width="72.42578125" style="72" customWidth="1"/>
    <col min="771" max="771" width="15.7109375" style="72" customWidth="1"/>
    <col min="772" max="777" width="9.140625" style="72" customWidth="1"/>
    <col min="778" max="778" width="17.42578125" style="72" bestFit="1" customWidth="1"/>
    <col min="779" max="1022" width="9.140625" style="72" customWidth="1"/>
    <col min="1023" max="1023" width="12.7109375" style="72" customWidth="1"/>
    <col min="1024" max="1024" width="72.42578125" style="72"/>
    <col min="1025" max="1025" width="12.7109375" style="72" customWidth="1"/>
    <col min="1026" max="1026" width="72.42578125" style="72" customWidth="1"/>
    <col min="1027" max="1027" width="15.7109375" style="72" customWidth="1"/>
    <col min="1028" max="1033" width="9.140625" style="72" customWidth="1"/>
    <col min="1034" max="1034" width="17.42578125" style="72" bestFit="1" customWidth="1"/>
    <col min="1035" max="1278" width="9.140625" style="72" customWidth="1"/>
    <col min="1279" max="1279" width="12.7109375" style="72" customWidth="1"/>
    <col min="1280" max="1280" width="72.42578125" style="72"/>
    <col min="1281" max="1281" width="12.7109375" style="72" customWidth="1"/>
    <col min="1282" max="1282" width="72.42578125" style="72" customWidth="1"/>
    <col min="1283" max="1283" width="15.7109375" style="72" customWidth="1"/>
    <col min="1284" max="1289" width="9.140625" style="72" customWidth="1"/>
    <col min="1290" max="1290" width="17.42578125" style="72" bestFit="1" customWidth="1"/>
    <col min="1291" max="1534" width="9.140625" style="72" customWidth="1"/>
    <col min="1535" max="1535" width="12.7109375" style="72" customWidth="1"/>
    <col min="1536" max="1536" width="72.42578125" style="72"/>
    <col min="1537" max="1537" width="12.7109375" style="72" customWidth="1"/>
    <col min="1538" max="1538" width="72.42578125" style="72" customWidth="1"/>
    <col min="1539" max="1539" width="15.7109375" style="72" customWidth="1"/>
    <col min="1540" max="1545" width="9.140625" style="72" customWidth="1"/>
    <col min="1546" max="1546" width="17.42578125" style="72" bestFit="1" customWidth="1"/>
    <col min="1547" max="1790" width="9.140625" style="72" customWidth="1"/>
    <col min="1791" max="1791" width="12.7109375" style="72" customWidth="1"/>
    <col min="1792" max="1792" width="72.42578125" style="72"/>
    <col min="1793" max="1793" width="12.7109375" style="72" customWidth="1"/>
    <col min="1794" max="1794" width="72.42578125" style="72" customWidth="1"/>
    <col min="1795" max="1795" width="15.7109375" style="72" customWidth="1"/>
    <col min="1796" max="1801" width="9.140625" style="72" customWidth="1"/>
    <col min="1802" max="1802" width="17.42578125" style="72" bestFit="1" customWidth="1"/>
    <col min="1803" max="2046" width="9.140625" style="72" customWidth="1"/>
    <col min="2047" max="2047" width="12.7109375" style="72" customWidth="1"/>
    <col min="2048" max="2048" width="72.42578125" style="72"/>
    <col min="2049" max="2049" width="12.7109375" style="72" customWidth="1"/>
    <col min="2050" max="2050" width="72.42578125" style="72" customWidth="1"/>
    <col min="2051" max="2051" width="15.7109375" style="72" customWidth="1"/>
    <col min="2052" max="2057" width="9.140625" style="72" customWidth="1"/>
    <col min="2058" max="2058" width="17.42578125" style="72" bestFit="1" customWidth="1"/>
    <col min="2059" max="2302" width="9.140625" style="72" customWidth="1"/>
    <col min="2303" max="2303" width="12.7109375" style="72" customWidth="1"/>
    <col min="2304" max="2304" width="72.42578125" style="72"/>
    <col min="2305" max="2305" width="12.7109375" style="72" customWidth="1"/>
    <col min="2306" max="2306" width="72.42578125" style="72" customWidth="1"/>
    <col min="2307" max="2307" width="15.7109375" style="72" customWidth="1"/>
    <col min="2308" max="2313" width="9.140625" style="72" customWidth="1"/>
    <col min="2314" max="2314" width="17.42578125" style="72" bestFit="1" customWidth="1"/>
    <col min="2315" max="2558" width="9.140625" style="72" customWidth="1"/>
    <col min="2559" max="2559" width="12.7109375" style="72" customWidth="1"/>
    <col min="2560" max="2560" width="72.42578125" style="72"/>
    <col min="2561" max="2561" width="12.7109375" style="72" customWidth="1"/>
    <col min="2562" max="2562" width="72.42578125" style="72" customWidth="1"/>
    <col min="2563" max="2563" width="15.7109375" style="72" customWidth="1"/>
    <col min="2564" max="2569" width="9.140625" style="72" customWidth="1"/>
    <col min="2570" max="2570" width="17.42578125" style="72" bestFit="1" customWidth="1"/>
    <col min="2571" max="2814" width="9.140625" style="72" customWidth="1"/>
    <col min="2815" max="2815" width="12.7109375" style="72" customWidth="1"/>
    <col min="2816" max="2816" width="72.42578125" style="72"/>
    <col min="2817" max="2817" width="12.7109375" style="72" customWidth="1"/>
    <col min="2818" max="2818" width="72.42578125" style="72" customWidth="1"/>
    <col min="2819" max="2819" width="15.7109375" style="72" customWidth="1"/>
    <col min="2820" max="2825" width="9.140625" style="72" customWidth="1"/>
    <col min="2826" max="2826" width="17.42578125" style="72" bestFit="1" customWidth="1"/>
    <col min="2827" max="3070" width="9.140625" style="72" customWidth="1"/>
    <col min="3071" max="3071" width="12.7109375" style="72" customWidth="1"/>
    <col min="3072" max="3072" width="72.42578125" style="72"/>
    <col min="3073" max="3073" width="12.7109375" style="72" customWidth="1"/>
    <col min="3074" max="3074" width="72.42578125" style="72" customWidth="1"/>
    <col min="3075" max="3075" width="15.7109375" style="72" customWidth="1"/>
    <col min="3076" max="3081" width="9.140625" style="72" customWidth="1"/>
    <col min="3082" max="3082" width="17.42578125" style="72" bestFit="1" customWidth="1"/>
    <col min="3083" max="3326" width="9.140625" style="72" customWidth="1"/>
    <col min="3327" max="3327" width="12.7109375" style="72" customWidth="1"/>
    <col min="3328" max="3328" width="72.42578125" style="72"/>
    <col min="3329" max="3329" width="12.7109375" style="72" customWidth="1"/>
    <col min="3330" max="3330" width="72.42578125" style="72" customWidth="1"/>
    <col min="3331" max="3331" width="15.7109375" style="72" customWidth="1"/>
    <col min="3332" max="3337" width="9.140625" style="72" customWidth="1"/>
    <col min="3338" max="3338" width="17.42578125" style="72" bestFit="1" customWidth="1"/>
    <col min="3339" max="3582" width="9.140625" style="72" customWidth="1"/>
    <col min="3583" max="3583" width="12.7109375" style="72" customWidth="1"/>
    <col min="3584" max="3584" width="72.42578125" style="72"/>
    <col min="3585" max="3585" width="12.7109375" style="72" customWidth="1"/>
    <col min="3586" max="3586" width="72.42578125" style="72" customWidth="1"/>
    <col min="3587" max="3587" width="15.7109375" style="72" customWidth="1"/>
    <col min="3588" max="3593" width="9.140625" style="72" customWidth="1"/>
    <col min="3594" max="3594" width="17.42578125" style="72" bestFit="1" customWidth="1"/>
    <col min="3595" max="3838" width="9.140625" style="72" customWidth="1"/>
    <col min="3839" max="3839" width="12.7109375" style="72" customWidth="1"/>
    <col min="3840" max="3840" width="72.42578125" style="72"/>
    <col min="3841" max="3841" width="12.7109375" style="72" customWidth="1"/>
    <col min="3842" max="3842" width="72.42578125" style="72" customWidth="1"/>
    <col min="3843" max="3843" width="15.7109375" style="72" customWidth="1"/>
    <col min="3844" max="3849" width="9.140625" style="72" customWidth="1"/>
    <col min="3850" max="3850" width="17.42578125" style="72" bestFit="1" customWidth="1"/>
    <col min="3851" max="4094" width="9.140625" style="72" customWidth="1"/>
    <col min="4095" max="4095" width="12.7109375" style="72" customWidth="1"/>
    <col min="4096" max="4096" width="72.42578125" style="72"/>
    <col min="4097" max="4097" width="12.7109375" style="72" customWidth="1"/>
    <col min="4098" max="4098" width="72.42578125" style="72" customWidth="1"/>
    <col min="4099" max="4099" width="15.7109375" style="72" customWidth="1"/>
    <col min="4100" max="4105" width="9.140625" style="72" customWidth="1"/>
    <col min="4106" max="4106" width="17.42578125" style="72" bestFit="1" customWidth="1"/>
    <col min="4107" max="4350" width="9.140625" style="72" customWidth="1"/>
    <col min="4351" max="4351" width="12.7109375" style="72" customWidth="1"/>
    <col min="4352" max="4352" width="72.42578125" style="72"/>
    <col min="4353" max="4353" width="12.7109375" style="72" customWidth="1"/>
    <col min="4354" max="4354" width="72.42578125" style="72" customWidth="1"/>
    <col min="4355" max="4355" width="15.7109375" style="72" customWidth="1"/>
    <col min="4356" max="4361" width="9.140625" style="72" customWidth="1"/>
    <col min="4362" max="4362" width="17.42578125" style="72" bestFit="1" customWidth="1"/>
    <col min="4363" max="4606" width="9.140625" style="72" customWidth="1"/>
    <col min="4607" max="4607" width="12.7109375" style="72" customWidth="1"/>
    <col min="4608" max="4608" width="72.42578125" style="72"/>
    <col min="4609" max="4609" width="12.7109375" style="72" customWidth="1"/>
    <col min="4610" max="4610" width="72.42578125" style="72" customWidth="1"/>
    <col min="4611" max="4611" width="15.7109375" style="72" customWidth="1"/>
    <col min="4612" max="4617" width="9.140625" style="72" customWidth="1"/>
    <col min="4618" max="4618" width="17.42578125" style="72" bestFit="1" customWidth="1"/>
    <col min="4619" max="4862" width="9.140625" style="72" customWidth="1"/>
    <col min="4863" max="4863" width="12.7109375" style="72" customWidth="1"/>
    <col min="4864" max="4864" width="72.42578125" style="72"/>
    <col min="4865" max="4865" width="12.7109375" style="72" customWidth="1"/>
    <col min="4866" max="4866" width="72.42578125" style="72" customWidth="1"/>
    <col min="4867" max="4867" width="15.7109375" style="72" customWidth="1"/>
    <col min="4868" max="4873" width="9.140625" style="72" customWidth="1"/>
    <col min="4874" max="4874" width="17.42578125" style="72" bestFit="1" customWidth="1"/>
    <col min="4875" max="5118" width="9.140625" style="72" customWidth="1"/>
    <col min="5119" max="5119" width="12.7109375" style="72" customWidth="1"/>
    <col min="5120" max="5120" width="72.42578125" style="72"/>
    <col min="5121" max="5121" width="12.7109375" style="72" customWidth="1"/>
    <col min="5122" max="5122" width="72.42578125" style="72" customWidth="1"/>
    <col min="5123" max="5123" width="15.7109375" style="72" customWidth="1"/>
    <col min="5124" max="5129" width="9.140625" style="72" customWidth="1"/>
    <col min="5130" max="5130" width="17.42578125" style="72" bestFit="1" customWidth="1"/>
    <col min="5131" max="5374" width="9.140625" style="72" customWidth="1"/>
    <col min="5375" max="5375" width="12.7109375" style="72" customWidth="1"/>
    <col min="5376" max="5376" width="72.42578125" style="72"/>
    <col min="5377" max="5377" width="12.7109375" style="72" customWidth="1"/>
    <col min="5378" max="5378" width="72.42578125" style="72" customWidth="1"/>
    <col min="5379" max="5379" width="15.7109375" style="72" customWidth="1"/>
    <col min="5380" max="5385" width="9.140625" style="72" customWidth="1"/>
    <col min="5386" max="5386" width="17.42578125" style="72" bestFit="1" customWidth="1"/>
    <col min="5387" max="5630" width="9.140625" style="72" customWidth="1"/>
    <col min="5631" max="5631" width="12.7109375" style="72" customWidth="1"/>
    <col min="5632" max="5632" width="72.42578125" style="72"/>
    <col min="5633" max="5633" width="12.7109375" style="72" customWidth="1"/>
    <col min="5634" max="5634" width="72.42578125" style="72" customWidth="1"/>
    <col min="5635" max="5635" width="15.7109375" style="72" customWidth="1"/>
    <col min="5636" max="5641" width="9.140625" style="72" customWidth="1"/>
    <col min="5642" max="5642" width="17.42578125" style="72" bestFit="1" customWidth="1"/>
    <col min="5643" max="5886" width="9.140625" style="72" customWidth="1"/>
    <col min="5887" max="5887" width="12.7109375" style="72" customWidth="1"/>
    <col min="5888" max="5888" width="72.42578125" style="72"/>
    <col min="5889" max="5889" width="12.7109375" style="72" customWidth="1"/>
    <col min="5890" max="5890" width="72.42578125" style="72" customWidth="1"/>
    <col min="5891" max="5891" width="15.7109375" style="72" customWidth="1"/>
    <col min="5892" max="5897" width="9.140625" style="72" customWidth="1"/>
    <col min="5898" max="5898" width="17.42578125" style="72" bestFit="1" customWidth="1"/>
    <col min="5899" max="6142" width="9.140625" style="72" customWidth="1"/>
    <col min="6143" max="6143" width="12.7109375" style="72" customWidth="1"/>
    <col min="6144" max="6144" width="72.42578125" style="72"/>
    <col min="6145" max="6145" width="12.7109375" style="72" customWidth="1"/>
    <col min="6146" max="6146" width="72.42578125" style="72" customWidth="1"/>
    <col min="6147" max="6147" width="15.7109375" style="72" customWidth="1"/>
    <col min="6148" max="6153" width="9.140625" style="72" customWidth="1"/>
    <col min="6154" max="6154" width="17.42578125" style="72" bestFit="1" customWidth="1"/>
    <col min="6155" max="6398" width="9.140625" style="72" customWidth="1"/>
    <col min="6399" max="6399" width="12.7109375" style="72" customWidth="1"/>
    <col min="6400" max="6400" width="72.42578125" style="72"/>
    <col min="6401" max="6401" width="12.7109375" style="72" customWidth="1"/>
    <col min="6402" max="6402" width="72.42578125" style="72" customWidth="1"/>
    <col min="6403" max="6403" width="15.7109375" style="72" customWidth="1"/>
    <col min="6404" max="6409" width="9.140625" style="72" customWidth="1"/>
    <col min="6410" max="6410" width="17.42578125" style="72" bestFit="1" customWidth="1"/>
    <col min="6411" max="6654" width="9.140625" style="72" customWidth="1"/>
    <col min="6655" max="6655" width="12.7109375" style="72" customWidth="1"/>
    <col min="6656" max="6656" width="72.42578125" style="72"/>
    <col min="6657" max="6657" width="12.7109375" style="72" customWidth="1"/>
    <col min="6658" max="6658" width="72.42578125" style="72" customWidth="1"/>
    <col min="6659" max="6659" width="15.7109375" style="72" customWidth="1"/>
    <col min="6660" max="6665" width="9.140625" style="72" customWidth="1"/>
    <col min="6666" max="6666" width="17.42578125" style="72" bestFit="1" customWidth="1"/>
    <col min="6667" max="6910" width="9.140625" style="72" customWidth="1"/>
    <col min="6911" max="6911" width="12.7109375" style="72" customWidth="1"/>
    <col min="6912" max="6912" width="72.42578125" style="72"/>
    <col min="6913" max="6913" width="12.7109375" style="72" customWidth="1"/>
    <col min="6914" max="6914" width="72.42578125" style="72" customWidth="1"/>
    <col min="6915" max="6915" width="15.7109375" style="72" customWidth="1"/>
    <col min="6916" max="6921" width="9.140625" style="72" customWidth="1"/>
    <col min="6922" max="6922" width="17.42578125" style="72" bestFit="1" customWidth="1"/>
    <col min="6923" max="7166" width="9.140625" style="72" customWidth="1"/>
    <col min="7167" max="7167" width="12.7109375" style="72" customWidth="1"/>
    <col min="7168" max="7168" width="72.42578125" style="72"/>
    <col min="7169" max="7169" width="12.7109375" style="72" customWidth="1"/>
    <col min="7170" max="7170" width="72.42578125" style="72" customWidth="1"/>
    <col min="7171" max="7171" width="15.7109375" style="72" customWidth="1"/>
    <col min="7172" max="7177" width="9.140625" style="72" customWidth="1"/>
    <col min="7178" max="7178" width="17.42578125" style="72" bestFit="1" customWidth="1"/>
    <col min="7179" max="7422" width="9.140625" style="72" customWidth="1"/>
    <col min="7423" max="7423" width="12.7109375" style="72" customWidth="1"/>
    <col min="7424" max="7424" width="72.42578125" style="72"/>
    <col min="7425" max="7425" width="12.7109375" style="72" customWidth="1"/>
    <col min="7426" max="7426" width="72.42578125" style="72" customWidth="1"/>
    <col min="7427" max="7427" width="15.7109375" style="72" customWidth="1"/>
    <col min="7428" max="7433" width="9.140625" style="72" customWidth="1"/>
    <col min="7434" max="7434" width="17.42578125" style="72" bestFit="1" customWidth="1"/>
    <col min="7435" max="7678" width="9.140625" style="72" customWidth="1"/>
    <col min="7679" max="7679" width="12.7109375" style="72" customWidth="1"/>
    <col min="7680" max="7680" width="72.42578125" style="72"/>
    <col min="7681" max="7681" width="12.7109375" style="72" customWidth="1"/>
    <col min="7682" max="7682" width="72.42578125" style="72" customWidth="1"/>
    <col min="7683" max="7683" width="15.7109375" style="72" customWidth="1"/>
    <col min="7684" max="7689" width="9.140625" style="72" customWidth="1"/>
    <col min="7690" max="7690" width="17.42578125" style="72" bestFit="1" customWidth="1"/>
    <col min="7691" max="7934" width="9.140625" style="72" customWidth="1"/>
    <col min="7935" max="7935" width="12.7109375" style="72" customWidth="1"/>
    <col min="7936" max="7936" width="72.42578125" style="72"/>
    <col min="7937" max="7937" width="12.7109375" style="72" customWidth="1"/>
    <col min="7938" max="7938" width="72.42578125" style="72" customWidth="1"/>
    <col min="7939" max="7939" width="15.7109375" style="72" customWidth="1"/>
    <col min="7940" max="7945" width="9.140625" style="72" customWidth="1"/>
    <col min="7946" max="7946" width="17.42578125" style="72" bestFit="1" customWidth="1"/>
    <col min="7947" max="8190" width="9.140625" style="72" customWidth="1"/>
    <col min="8191" max="8191" width="12.7109375" style="72" customWidth="1"/>
    <col min="8192" max="8192" width="72.42578125" style="72"/>
    <col min="8193" max="8193" width="12.7109375" style="72" customWidth="1"/>
    <col min="8194" max="8194" width="72.42578125" style="72" customWidth="1"/>
    <col min="8195" max="8195" width="15.7109375" style="72" customWidth="1"/>
    <col min="8196" max="8201" width="9.140625" style="72" customWidth="1"/>
    <col min="8202" max="8202" width="17.42578125" style="72" bestFit="1" customWidth="1"/>
    <col min="8203" max="8446" width="9.140625" style="72" customWidth="1"/>
    <col min="8447" max="8447" width="12.7109375" style="72" customWidth="1"/>
    <col min="8448" max="8448" width="72.42578125" style="72"/>
    <col min="8449" max="8449" width="12.7109375" style="72" customWidth="1"/>
    <col min="8450" max="8450" width="72.42578125" style="72" customWidth="1"/>
    <col min="8451" max="8451" width="15.7109375" style="72" customWidth="1"/>
    <col min="8452" max="8457" width="9.140625" style="72" customWidth="1"/>
    <col min="8458" max="8458" width="17.42578125" style="72" bestFit="1" customWidth="1"/>
    <col min="8459" max="8702" width="9.140625" style="72" customWidth="1"/>
    <col min="8703" max="8703" width="12.7109375" style="72" customWidth="1"/>
    <col min="8704" max="8704" width="72.42578125" style="72"/>
    <col min="8705" max="8705" width="12.7109375" style="72" customWidth="1"/>
    <col min="8706" max="8706" width="72.42578125" style="72" customWidth="1"/>
    <col min="8707" max="8707" width="15.7109375" style="72" customWidth="1"/>
    <col min="8708" max="8713" width="9.140625" style="72" customWidth="1"/>
    <col min="8714" max="8714" width="17.42578125" style="72" bestFit="1" customWidth="1"/>
    <col min="8715" max="8958" width="9.140625" style="72" customWidth="1"/>
    <col min="8959" max="8959" width="12.7109375" style="72" customWidth="1"/>
    <col min="8960" max="8960" width="72.42578125" style="72"/>
    <col min="8961" max="8961" width="12.7109375" style="72" customWidth="1"/>
    <col min="8962" max="8962" width="72.42578125" style="72" customWidth="1"/>
    <col min="8963" max="8963" width="15.7109375" style="72" customWidth="1"/>
    <col min="8964" max="8969" width="9.140625" style="72" customWidth="1"/>
    <col min="8970" max="8970" width="17.42578125" style="72" bestFit="1" customWidth="1"/>
    <col min="8971" max="9214" width="9.140625" style="72" customWidth="1"/>
    <col min="9215" max="9215" width="12.7109375" style="72" customWidth="1"/>
    <col min="9216" max="9216" width="72.42578125" style="72"/>
    <col min="9217" max="9217" width="12.7109375" style="72" customWidth="1"/>
    <col min="9218" max="9218" width="72.42578125" style="72" customWidth="1"/>
    <col min="9219" max="9219" width="15.7109375" style="72" customWidth="1"/>
    <col min="9220" max="9225" width="9.140625" style="72" customWidth="1"/>
    <col min="9226" max="9226" width="17.42578125" style="72" bestFit="1" customWidth="1"/>
    <col min="9227" max="9470" width="9.140625" style="72" customWidth="1"/>
    <col min="9471" max="9471" width="12.7109375" style="72" customWidth="1"/>
    <col min="9472" max="9472" width="72.42578125" style="72"/>
    <col min="9473" max="9473" width="12.7109375" style="72" customWidth="1"/>
    <col min="9474" max="9474" width="72.42578125" style="72" customWidth="1"/>
    <col min="9475" max="9475" width="15.7109375" style="72" customWidth="1"/>
    <col min="9476" max="9481" width="9.140625" style="72" customWidth="1"/>
    <col min="9482" max="9482" width="17.42578125" style="72" bestFit="1" customWidth="1"/>
    <col min="9483" max="9726" width="9.140625" style="72" customWidth="1"/>
    <col min="9727" max="9727" width="12.7109375" style="72" customWidth="1"/>
    <col min="9728" max="9728" width="72.42578125" style="72"/>
    <col min="9729" max="9729" width="12.7109375" style="72" customWidth="1"/>
    <col min="9730" max="9730" width="72.42578125" style="72" customWidth="1"/>
    <col min="9731" max="9731" width="15.7109375" style="72" customWidth="1"/>
    <col min="9732" max="9737" width="9.140625" style="72" customWidth="1"/>
    <col min="9738" max="9738" width="17.42578125" style="72" bestFit="1" customWidth="1"/>
    <col min="9739" max="9982" width="9.140625" style="72" customWidth="1"/>
    <col min="9983" max="9983" width="12.7109375" style="72" customWidth="1"/>
    <col min="9984" max="9984" width="72.42578125" style="72"/>
    <col min="9985" max="9985" width="12.7109375" style="72" customWidth="1"/>
    <col min="9986" max="9986" width="72.42578125" style="72" customWidth="1"/>
    <col min="9987" max="9987" width="15.7109375" style="72" customWidth="1"/>
    <col min="9988" max="9993" width="9.140625" style="72" customWidth="1"/>
    <col min="9994" max="9994" width="17.42578125" style="72" bestFit="1" customWidth="1"/>
    <col min="9995" max="10238" width="9.140625" style="72" customWidth="1"/>
    <col min="10239" max="10239" width="12.7109375" style="72" customWidth="1"/>
    <col min="10240" max="10240" width="72.42578125" style="72"/>
    <col min="10241" max="10241" width="12.7109375" style="72" customWidth="1"/>
    <col min="10242" max="10242" width="72.42578125" style="72" customWidth="1"/>
    <col min="10243" max="10243" width="15.7109375" style="72" customWidth="1"/>
    <col min="10244" max="10249" width="9.140625" style="72" customWidth="1"/>
    <col min="10250" max="10250" width="17.42578125" style="72" bestFit="1" customWidth="1"/>
    <col min="10251" max="10494" width="9.140625" style="72" customWidth="1"/>
    <col min="10495" max="10495" width="12.7109375" style="72" customWidth="1"/>
    <col min="10496" max="10496" width="72.42578125" style="72"/>
    <col min="10497" max="10497" width="12.7109375" style="72" customWidth="1"/>
    <col min="10498" max="10498" width="72.42578125" style="72" customWidth="1"/>
    <col min="10499" max="10499" width="15.7109375" style="72" customWidth="1"/>
    <col min="10500" max="10505" width="9.140625" style="72" customWidth="1"/>
    <col min="10506" max="10506" width="17.42578125" style="72" bestFit="1" customWidth="1"/>
    <col min="10507" max="10750" width="9.140625" style="72" customWidth="1"/>
    <col min="10751" max="10751" width="12.7109375" style="72" customWidth="1"/>
    <col min="10752" max="10752" width="72.42578125" style="72"/>
    <col min="10753" max="10753" width="12.7109375" style="72" customWidth="1"/>
    <col min="10754" max="10754" width="72.42578125" style="72" customWidth="1"/>
    <col min="10755" max="10755" width="15.7109375" style="72" customWidth="1"/>
    <col min="10756" max="10761" width="9.140625" style="72" customWidth="1"/>
    <col min="10762" max="10762" width="17.42578125" style="72" bestFit="1" customWidth="1"/>
    <col min="10763" max="11006" width="9.140625" style="72" customWidth="1"/>
    <col min="11007" max="11007" width="12.7109375" style="72" customWidth="1"/>
    <col min="11008" max="11008" width="72.42578125" style="72"/>
    <col min="11009" max="11009" width="12.7109375" style="72" customWidth="1"/>
    <col min="11010" max="11010" width="72.42578125" style="72" customWidth="1"/>
    <col min="11011" max="11011" width="15.7109375" style="72" customWidth="1"/>
    <col min="11012" max="11017" width="9.140625" style="72" customWidth="1"/>
    <col min="11018" max="11018" width="17.42578125" style="72" bestFit="1" customWidth="1"/>
    <col min="11019" max="11262" width="9.140625" style="72" customWidth="1"/>
    <col min="11263" max="11263" width="12.7109375" style="72" customWidth="1"/>
    <col min="11264" max="11264" width="72.42578125" style="72"/>
    <col min="11265" max="11265" width="12.7109375" style="72" customWidth="1"/>
    <col min="11266" max="11266" width="72.42578125" style="72" customWidth="1"/>
    <col min="11267" max="11267" width="15.7109375" style="72" customWidth="1"/>
    <col min="11268" max="11273" width="9.140625" style="72" customWidth="1"/>
    <col min="11274" max="11274" width="17.42578125" style="72" bestFit="1" customWidth="1"/>
    <col min="11275" max="11518" width="9.140625" style="72" customWidth="1"/>
    <col min="11519" max="11519" width="12.7109375" style="72" customWidth="1"/>
    <col min="11520" max="11520" width="72.42578125" style="72"/>
    <col min="11521" max="11521" width="12.7109375" style="72" customWidth="1"/>
    <col min="11522" max="11522" width="72.42578125" style="72" customWidth="1"/>
    <col min="11523" max="11523" width="15.7109375" style="72" customWidth="1"/>
    <col min="11524" max="11529" width="9.140625" style="72" customWidth="1"/>
    <col min="11530" max="11530" width="17.42578125" style="72" bestFit="1" customWidth="1"/>
    <col min="11531" max="11774" width="9.140625" style="72" customWidth="1"/>
    <col min="11775" max="11775" width="12.7109375" style="72" customWidth="1"/>
    <col min="11776" max="11776" width="72.42578125" style="72"/>
    <col min="11777" max="11777" width="12.7109375" style="72" customWidth="1"/>
    <col min="11778" max="11778" width="72.42578125" style="72" customWidth="1"/>
    <col min="11779" max="11779" width="15.7109375" style="72" customWidth="1"/>
    <col min="11780" max="11785" width="9.140625" style="72" customWidth="1"/>
    <col min="11786" max="11786" width="17.42578125" style="72" bestFit="1" customWidth="1"/>
    <col min="11787" max="12030" width="9.140625" style="72" customWidth="1"/>
    <col min="12031" max="12031" width="12.7109375" style="72" customWidth="1"/>
    <col min="12032" max="12032" width="72.42578125" style="72"/>
    <col min="12033" max="12033" width="12.7109375" style="72" customWidth="1"/>
    <col min="12034" max="12034" width="72.42578125" style="72" customWidth="1"/>
    <col min="12035" max="12035" width="15.7109375" style="72" customWidth="1"/>
    <col min="12036" max="12041" width="9.140625" style="72" customWidth="1"/>
    <col min="12042" max="12042" width="17.42578125" style="72" bestFit="1" customWidth="1"/>
    <col min="12043" max="12286" width="9.140625" style="72" customWidth="1"/>
    <col min="12287" max="12287" width="12.7109375" style="72" customWidth="1"/>
    <col min="12288" max="12288" width="72.42578125" style="72"/>
    <col min="12289" max="12289" width="12.7109375" style="72" customWidth="1"/>
    <col min="12290" max="12290" width="72.42578125" style="72" customWidth="1"/>
    <col min="12291" max="12291" width="15.7109375" style="72" customWidth="1"/>
    <col min="12292" max="12297" width="9.140625" style="72" customWidth="1"/>
    <col min="12298" max="12298" width="17.42578125" style="72" bestFit="1" customWidth="1"/>
    <col min="12299" max="12542" width="9.140625" style="72" customWidth="1"/>
    <col min="12543" max="12543" width="12.7109375" style="72" customWidth="1"/>
    <col min="12544" max="12544" width="72.42578125" style="72"/>
    <col min="12545" max="12545" width="12.7109375" style="72" customWidth="1"/>
    <col min="12546" max="12546" width="72.42578125" style="72" customWidth="1"/>
    <col min="12547" max="12547" width="15.7109375" style="72" customWidth="1"/>
    <col min="12548" max="12553" width="9.140625" style="72" customWidth="1"/>
    <col min="12554" max="12554" width="17.42578125" style="72" bestFit="1" customWidth="1"/>
    <col min="12555" max="12798" width="9.140625" style="72" customWidth="1"/>
    <col min="12799" max="12799" width="12.7109375" style="72" customWidth="1"/>
    <col min="12800" max="12800" width="72.42578125" style="72"/>
    <col min="12801" max="12801" width="12.7109375" style="72" customWidth="1"/>
    <col min="12802" max="12802" width="72.42578125" style="72" customWidth="1"/>
    <col min="12803" max="12803" width="15.7109375" style="72" customWidth="1"/>
    <col min="12804" max="12809" width="9.140625" style="72" customWidth="1"/>
    <col min="12810" max="12810" width="17.42578125" style="72" bestFit="1" customWidth="1"/>
    <col min="12811" max="13054" width="9.140625" style="72" customWidth="1"/>
    <col min="13055" max="13055" width="12.7109375" style="72" customWidth="1"/>
    <col min="13056" max="13056" width="72.42578125" style="72"/>
    <col min="13057" max="13057" width="12.7109375" style="72" customWidth="1"/>
    <col min="13058" max="13058" width="72.42578125" style="72" customWidth="1"/>
    <col min="13059" max="13059" width="15.7109375" style="72" customWidth="1"/>
    <col min="13060" max="13065" width="9.140625" style="72" customWidth="1"/>
    <col min="13066" max="13066" width="17.42578125" style="72" bestFit="1" customWidth="1"/>
    <col min="13067" max="13310" width="9.140625" style="72" customWidth="1"/>
    <col min="13311" max="13311" width="12.7109375" style="72" customWidth="1"/>
    <col min="13312" max="13312" width="72.42578125" style="72"/>
    <col min="13313" max="13313" width="12.7109375" style="72" customWidth="1"/>
    <col min="13314" max="13314" width="72.42578125" style="72" customWidth="1"/>
    <col min="13315" max="13315" width="15.7109375" style="72" customWidth="1"/>
    <col min="13316" max="13321" width="9.140625" style="72" customWidth="1"/>
    <col min="13322" max="13322" width="17.42578125" style="72" bestFit="1" customWidth="1"/>
    <col min="13323" max="13566" width="9.140625" style="72" customWidth="1"/>
    <col min="13567" max="13567" width="12.7109375" style="72" customWidth="1"/>
    <col min="13568" max="13568" width="72.42578125" style="72"/>
    <col min="13569" max="13569" width="12.7109375" style="72" customWidth="1"/>
    <col min="13570" max="13570" width="72.42578125" style="72" customWidth="1"/>
    <col min="13571" max="13571" width="15.7109375" style="72" customWidth="1"/>
    <col min="13572" max="13577" width="9.140625" style="72" customWidth="1"/>
    <col min="13578" max="13578" width="17.42578125" style="72" bestFit="1" customWidth="1"/>
    <col min="13579" max="13822" width="9.140625" style="72" customWidth="1"/>
    <col min="13823" max="13823" width="12.7109375" style="72" customWidth="1"/>
    <col min="13824" max="13824" width="72.42578125" style="72"/>
    <col min="13825" max="13825" width="12.7109375" style="72" customWidth="1"/>
    <col min="13826" max="13826" width="72.42578125" style="72" customWidth="1"/>
    <col min="13827" max="13827" width="15.7109375" style="72" customWidth="1"/>
    <col min="13828" max="13833" width="9.140625" style="72" customWidth="1"/>
    <col min="13834" max="13834" width="17.42578125" style="72" bestFit="1" customWidth="1"/>
    <col min="13835" max="14078" width="9.140625" style="72" customWidth="1"/>
    <col min="14079" max="14079" width="12.7109375" style="72" customWidth="1"/>
    <col min="14080" max="14080" width="72.42578125" style="72"/>
    <col min="14081" max="14081" width="12.7109375" style="72" customWidth="1"/>
    <col min="14082" max="14082" width="72.42578125" style="72" customWidth="1"/>
    <col min="14083" max="14083" width="15.7109375" style="72" customWidth="1"/>
    <col min="14084" max="14089" width="9.140625" style="72" customWidth="1"/>
    <col min="14090" max="14090" width="17.42578125" style="72" bestFit="1" customWidth="1"/>
    <col min="14091" max="14334" width="9.140625" style="72" customWidth="1"/>
    <col min="14335" max="14335" width="12.7109375" style="72" customWidth="1"/>
    <col min="14336" max="14336" width="72.42578125" style="72"/>
    <col min="14337" max="14337" width="12.7109375" style="72" customWidth="1"/>
    <col min="14338" max="14338" width="72.42578125" style="72" customWidth="1"/>
    <col min="14339" max="14339" width="15.7109375" style="72" customWidth="1"/>
    <col min="14340" max="14345" width="9.140625" style="72" customWidth="1"/>
    <col min="14346" max="14346" width="17.42578125" style="72" bestFit="1" customWidth="1"/>
    <col min="14347" max="14590" width="9.140625" style="72" customWidth="1"/>
    <col min="14591" max="14591" width="12.7109375" style="72" customWidth="1"/>
    <col min="14592" max="14592" width="72.42578125" style="72"/>
    <col min="14593" max="14593" width="12.7109375" style="72" customWidth="1"/>
    <col min="14594" max="14594" width="72.42578125" style="72" customWidth="1"/>
    <col min="14595" max="14595" width="15.7109375" style="72" customWidth="1"/>
    <col min="14596" max="14601" width="9.140625" style="72" customWidth="1"/>
    <col min="14602" max="14602" width="17.42578125" style="72" bestFit="1" customWidth="1"/>
    <col min="14603" max="14846" width="9.140625" style="72" customWidth="1"/>
    <col min="14847" max="14847" width="12.7109375" style="72" customWidth="1"/>
    <col min="14848" max="14848" width="72.42578125" style="72"/>
    <col min="14849" max="14849" width="12.7109375" style="72" customWidth="1"/>
    <col min="14850" max="14850" width="72.42578125" style="72" customWidth="1"/>
    <col min="14851" max="14851" width="15.7109375" style="72" customWidth="1"/>
    <col min="14852" max="14857" width="9.140625" style="72" customWidth="1"/>
    <col min="14858" max="14858" width="17.42578125" style="72" bestFit="1" customWidth="1"/>
    <col min="14859" max="15102" width="9.140625" style="72" customWidth="1"/>
    <col min="15103" max="15103" width="12.7109375" style="72" customWidth="1"/>
    <col min="15104" max="15104" width="72.42578125" style="72"/>
    <col min="15105" max="15105" width="12.7109375" style="72" customWidth="1"/>
    <col min="15106" max="15106" width="72.42578125" style="72" customWidth="1"/>
    <col min="15107" max="15107" width="15.7109375" style="72" customWidth="1"/>
    <col min="15108" max="15113" width="9.140625" style="72" customWidth="1"/>
    <col min="15114" max="15114" width="17.42578125" style="72" bestFit="1" customWidth="1"/>
    <col min="15115" max="15358" width="9.140625" style="72" customWidth="1"/>
    <col min="15359" max="15359" width="12.7109375" style="72" customWidth="1"/>
    <col min="15360" max="15360" width="72.42578125" style="72"/>
    <col min="15361" max="15361" width="12.7109375" style="72" customWidth="1"/>
    <col min="15362" max="15362" width="72.42578125" style="72" customWidth="1"/>
    <col min="15363" max="15363" width="15.7109375" style="72" customWidth="1"/>
    <col min="15364" max="15369" width="9.140625" style="72" customWidth="1"/>
    <col min="15370" max="15370" width="17.42578125" style="72" bestFit="1" customWidth="1"/>
    <col min="15371" max="15614" width="9.140625" style="72" customWidth="1"/>
    <col min="15615" max="15615" width="12.7109375" style="72" customWidth="1"/>
    <col min="15616" max="15616" width="72.42578125" style="72"/>
    <col min="15617" max="15617" width="12.7109375" style="72" customWidth="1"/>
    <col min="15618" max="15618" width="72.42578125" style="72" customWidth="1"/>
    <col min="15619" max="15619" width="15.7109375" style="72" customWidth="1"/>
    <col min="15620" max="15625" width="9.140625" style="72" customWidth="1"/>
    <col min="15626" max="15626" width="17.42578125" style="72" bestFit="1" customWidth="1"/>
    <col min="15627" max="15870" width="9.140625" style="72" customWidth="1"/>
    <col min="15871" max="15871" width="12.7109375" style="72" customWidth="1"/>
    <col min="15872" max="15872" width="72.42578125" style="72"/>
    <col min="15873" max="15873" width="12.7109375" style="72" customWidth="1"/>
    <col min="15874" max="15874" width="72.42578125" style="72" customWidth="1"/>
    <col min="15875" max="15875" width="15.7109375" style="72" customWidth="1"/>
    <col min="15876" max="15881" width="9.140625" style="72" customWidth="1"/>
    <col min="15882" max="15882" width="17.42578125" style="72" bestFit="1" customWidth="1"/>
    <col min="15883" max="16126" width="9.140625" style="72" customWidth="1"/>
    <col min="16127" max="16127" width="12.7109375" style="72" customWidth="1"/>
    <col min="16128" max="16128" width="72.42578125" style="72"/>
    <col min="16129" max="16129" width="12.7109375" style="72" customWidth="1"/>
    <col min="16130" max="16130" width="72.42578125" style="72" customWidth="1"/>
    <col min="16131" max="16131" width="15.7109375" style="72" customWidth="1"/>
    <col min="16132" max="16137" width="9.140625" style="72" customWidth="1"/>
    <col min="16138" max="16138" width="17.42578125" style="72" bestFit="1" customWidth="1"/>
    <col min="16139" max="16382" width="9.140625" style="72" customWidth="1"/>
    <col min="16383" max="16383" width="12.7109375" style="72" customWidth="1"/>
    <col min="16384" max="16384" width="72.42578125" style="72"/>
  </cols>
  <sheetData>
    <row r="1" spans="1:8" s="63" customFormat="1" ht="13.5" thickTop="1">
      <c r="A1" s="51" t="s">
        <v>968</v>
      </c>
      <c r="B1" s="52"/>
      <c r="C1" s="52"/>
      <c r="D1" s="61"/>
      <c r="E1" s="62"/>
      <c r="H1" s="64"/>
    </row>
    <row r="2" spans="1:8" s="63" customFormat="1">
      <c r="A2" s="133" t="s">
        <v>1039</v>
      </c>
      <c r="B2" s="134"/>
      <c r="C2" s="134"/>
      <c r="D2" s="65"/>
      <c r="E2" s="66"/>
      <c r="H2" s="67"/>
    </row>
    <row r="3" spans="1:8" s="63" customFormat="1">
      <c r="A3" s="56" t="s">
        <v>969</v>
      </c>
      <c r="B3" s="24"/>
      <c r="C3" s="25"/>
      <c r="D3" s="65"/>
      <c r="E3" s="66"/>
      <c r="H3" s="67"/>
    </row>
    <row r="4" spans="1:8">
      <c r="A4" s="68"/>
      <c r="B4" s="69"/>
      <c r="C4" s="69"/>
      <c r="D4" s="70"/>
      <c r="E4" s="71"/>
    </row>
    <row r="5" spans="1:8" ht="15" customHeight="1">
      <c r="A5" s="195" t="s">
        <v>1014</v>
      </c>
      <c r="B5" s="196"/>
      <c r="C5" s="196"/>
      <c r="D5" s="196"/>
      <c r="E5" s="197"/>
    </row>
    <row r="6" spans="1:8" ht="15" customHeight="1">
      <c r="A6" s="73" t="s">
        <v>1015</v>
      </c>
      <c r="B6" s="74" t="s">
        <v>1016</v>
      </c>
      <c r="C6" s="198" t="s">
        <v>1017</v>
      </c>
      <c r="D6" s="198"/>
      <c r="E6" s="199"/>
    </row>
    <row r="7" spans="1:8" ht="12" customHeight="1">
      <c r="A7" s="75"/>
      <c r="B7" s="200" t="s">
        <v>1018</v>
      </c>
      <c r="C7" s="200"/>
      <c r="D7" s="200"/>
      <c r="E7" s="201"/>
    </row>
    <row r="8" spans="1:8" ht="12.95" customHeight="1">
      <c r="A8" s="76" t="s">
        <v>1019</v>
      </c>
      <c r="B8" s="77" t="s">
        <v>1020</v>
      </c>
      <c r="C8" s="202">
        <v>3.5000000000000003E-2</v>
      </c>
      <c r="D8" s="203"/>
      <c r="E8" s="204"/>
    </row>
    <row r="9" spans="1:8" ht="12.95" customHeight="1">
      <c r="A9" s="76" t="s">
        <v>1021</v>
      </c>
      <c r="B9" s="77" t="s">
        <v>1022</v>
      </c>
      <c r="C9" s="202">
        <v>5.8999999999999999E-3</v>
      </c>
      <c r="D9" s="203"/>
      <c r="E9" s="204"/>
    </row>
    <row r="10" spans="1:8" ht="12.95" customHeight="1">
      <c r="A10" s="76" t="s">
        <v>1023</v>
      </c>
      <c r="B10" s="77" t="s">
        <v>1024</v>
      </c>
      <c r="C10" s="202">
        <v>1.17E-2</v>
      </c>
      <c r="D10" s="203"/>
      <c r="E10" s="204"/>
    </row>
    <row r="11" spans="1:8" ht="12.95" customHeight="1">
      <c r="A11" s="76"/>
      <c r="B11" s="77"/>
      <c r="C11" s="202"/>
      <c r="D11" s="203"/>
      <c r="E11" s="204"/>
    </row>
    <row r="12" spans="1:8" ht="12.95" customHeight="1">
      <c r="A12" s="76"/>
      <c r="B12" s="78" t="s">
        <v>1025</v>
      </c>
      <c r="C12" s="193"/>
      <c r="D12" s="193"/>
      <c r="E12" s="194"/>
    </row>
    <row r="13" spans="1:8" ht="12.95" customHeight="1">
      <c r="A13" s="76" t="s">
        <v>1026</v>
      </c>
      <c r="B13" s="77" t="s">
        <v>1027</v>
      </c>
      <c r="C13" s="193">
        <v>8.0000000000000002E-3</v>
      </c>
      <c r="D13" s="193"/>
      <c r="E13" s="194"/>
    </row>
    <row r="14" spans="1:8" ht="12.95" customHeight="1">
      <c r="A14" s="76" t="s">
        <v>1028</v>
      </c>
      <c r="B14" s="77" t="s">
        <v>1029</v>
      </c>
      <c r="C14" s="193">
        <v>7.2999999999999995E-2</v>
      </c>
      <c r="D14" s="193"/>
      <c r="E14" s="194"/>
    </row>
    <row r="15" spans="1:8" ht="12.95" customHeight="1">
      <c r="A15" s="76"/>
      <c r="B15" s="77"/>
      <c r="C15" s="193"/>
      <c r="D15" s="193"/>
      <c r="E15" s="194"/>
    </row>
    <row r="16" spans="1:8" ht="12.95" customHeight="1">
      <c r="A16" s="79" t="s">
        <v>1030</v>
      </c>
      <c r="B16" s="78" t="s">
        <v>1031</v>
      </c>
      <c r="C16" s="193"/>
      <c r="D16" s="193"/>
      <c r="E16" s="194"/>
    </row>
    <row r="17" spans="1:10" ht="12.95" customHeight="1">
      <c r="A17" s="76"/>
      <c r="B17" s="77" t="s">
        <v>1032</v>
      </c>
      <c r="C17" s="193">
        <v>6.7000000000000002E-3</v>
      </c>
      <c r="D17" s="193"/>
      <c r="E17" s="194"/>
    </row>
    <row r="18" spans="1:10" ht="15" customHeight="1">
      <c r="A18" s="75"/>
      <c r="B18" s="80" t="s">
        <v>1033</v>
      </c>
      <c r="C18" s="193">
        <v>0.03</v>
      </c>
      <c r="D18" s="193"/>
      <c r="E18" s="194"/>
      <c r="J18" s="81"/>
    </row>
    <row r="19" spans="1:10" ht="12" customHeight="1">
      <c r="A19" s="75"/>
      <c r="B19" s="80" t="s">
        <v>1034</v>
      </c>
      <c r="C19" s="193">
        <v>1.7500000000000002E-2</v>
      </c>
      <c r="D19" s="193"/>
      <c r="E19" s="194"/>
    </row>
    <row r="20" spans="1:10" ht="12.95" customHeight="1">
      <c r="A20" s="82"/>
      <c r="B20" s="77" t="s">
        <v>1035</v>
      </c>
      <c r="C20" s="193">
        <v>0.03</v>
      </c>
      <c r="D20" s="193"/>
      <c r="E20" s="194"/>
    </row>
    <row r="21" spans="1:10" ht="12.95" customHeight="1">
      <c r="A21" s="76"/>
      <c r="B21" s="83" t="s">
        <v>1036</v>
      </c>
      <c r="C21" s="193">
        <f>SUM(C17:C20)</f>
        <v>8.4199999999999997E-2</v>
      </c>
      <c r="D21" s="193"/>
      <c r="E21" s="194"/>
    </row>
    <row r="22" spans="1:10" ht="12.95" customHeight="1">
      <c r="A22" s="76"/>
      <c r="B22" s="77"/>
      <c r="C22" s="187"/>
      <c r="D22" s="187"/>
      <c r="E22" s="188"/>
    </row>
    <row r="23" spans="1:10" ht="12.95" customHeight="1">
      <c r="A23" s="76"/>
      <c r="B23" s="84" t="s">
        <v>1037</v>
      </c>
      <c r="C23" s="189">
        <f>((1+C8+C13+C10)*(1+C9)*(1+C14)/(1-C21))-1</f>
        <v>0.24303351090849534</v>
      </c>
      <c r="D23" s="189"/>
      <c r="E23" s="190"/>
    </row>
    <row r="24" spans="1:10" ht="12.95" customHeight="1">
      <c r="A24" s="76"/>
      <c r="B24" s="191"/>
      <c r="C24" s="191"/>
      <c r="D24" s="191"/>
      <c r="E24" s="85"/>
    </row>
    <row r="25" spans="1:10" ht="12.95" customHeight="1">
      <c r="A25" s="76"/>
      <c r="B25" s="191"/>
      <c r="C25" s="191"/>
      <c r="D25" s="191"/>
      <c r="E25" s="85"/>
    </row>
    <row r="26" spans="1:10" ht="12.95" customHeight="1">
      <c r="A26" s="76"/>
      <c r="B26" s="191"/>
      <c r="C26" s="191"/>
      <c r="D26" s="191"/>
      <c r="E26" s="85"/>
    </row>
    <row r="27" spans="1:10" ht="12.95" customHeight="1">
      <c r="A27" s="76"/>
      <c r="B27" s="191"/>
      <c r="C27" s="191"/>
      <c r="D27" s="191"/>
      <c r="E27" s="85"/>
    </row>
    <row r="28" spans="1:10" ht="12.95" customHeight="1">
      <c r="A28" s="76"/>
      <c r="B28" s="191"/>
      <c r="C28" s="191"/>
      <c r="D28" s="191"/>
      <c r="E28" s="85"/>
    </row>
    <row r="29" spans="1:10" ht="12.95" customHeight="1" thickBot="1">
      <c r="A29" s="86"/>
      <c r="B29" s="192"/>
      <c r="C29" s="192"/>
      <c r="D29" s="192"/>
      <c r="E29" s="87"/>
    </row>
    <row r="30" spans="1:10" ht="13.5" thickTop="1"/>
  </sheetData>
  <mergeCells count="21">
    <mergeCell ref="C15:E15"/>
    <mergeCell ref="A2:C2"/>
    <mergeCell ref="A5:E5"/>
    <mergeCell ref="C6:E6"/>
    <mergeCell ref="B7:E7"/>
    <mergeCell ref="C8:E8"/>
    <mergeCell ref="C9:E9"/>
    <mergeCell ref="C10:E10"/>
    <mergeCell ref="C11:E11"/>
    <mergeCell ref="C12:E12"/>
    <mergeCell ref="C13:E13"/>
    <mergeCell ref="C14:E14"/>
    <mergeCell ref="C22:E22"/>
    <mergeCell ref="C23:E23"/>
    <mergeCell ref="B24:D29"/>
    <mergeCell ref="C16:E16"/>
    <mergeCell ref="C17:E17"/>
    <mergeCell ref="C18:E18"/>
    <mergeCell ref="C19:E19"/>
    <mergeCell ref="C20:E20"/>
    <mergeCell ref="C21:E21"/>
  </mergeCells>
  <printOptions horizontalCentered="1"/>
  <pageMargins left="0.47244094488188981" right="0.47244094488188981" top="0.59055118110236227" bottom="0.59055118110236227" header="0.19685039370078741" footer="0.19685039370078741"/>
  <pageSetup paperSize="9" fitToHeight="0" orientation="landscape" r:id="rId1"/>
  <headerFooter>
    <oddFooter>&amp;C&amp;8RAMILOS CONSTRUÇÕES EIRELI - RUA SALES MENDES, Nº100, BAIRRO FRECHEIRAS, TIANGUÁ -CE
CNPJ: 09.060.561/0001-50 - CREA-CE Nº39626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8</vt:i4>
      </vt:variant>
    </vt:vector>
  </HeadingPairs>
  <TitlesOfParts>
    <vt:vector size="13" baseType="lpstr">
      <vt:lpstr>Orçamento</vt:lpstr>
      <vt:lpstr>Memorial de Cálculo</vt:lpstr>
      <vt:lpstr>Composições</vt:lpstr>
      <vt:lpstr>Cronograma</vt:lpstr>
      <vt:lpstr>BDI </vt:lpstr>
      <vt:lpstr>'BDI '!Area_de_impressao</vt:lpstr>
      <vt:lpstr>Composições!Area_de_impressao</vt:lpstr>
      <vt:lpstr>Cronograma!Area_de_impressao</vt:lpstr>
      <vt:lpstr>Orçamento!Area_de_impressao</vt:lpstr>
      <vt:lpstr>Composições!JR_PAGE_ANCHOR_0_1</vt:lpstr>
      <vt:lpstr>'Memorial de Cálculo'!JR_PAGE_ANCHOR_0_1</vt:lpstr>
      <vt:lpstr>JR_PAGE_ANCHOR_0_1</vt:lpstr>
      <vt:lpstr>JR_PAGE_ANCHOR_2_1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2019-06-14T12:12:00Z</dcterms:created>
  <dcterms:modified xsi:type="dcterms:W3CDTF">2020-02-18T00:26:27Z</dcterms:modified>
</cp:coreProperties>
</file>