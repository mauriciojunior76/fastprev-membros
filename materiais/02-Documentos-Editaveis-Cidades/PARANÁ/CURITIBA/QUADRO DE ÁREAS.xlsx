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480" windowWidth="20730" windowHeight="11760"/>
  </bookViews>
  <sheets>
    <sheet name="Planilha1" sheetId="12" r:id="rId1"/>
    <sheet name="1 UNIDADE" sheetId="1" r:id="rId2"/>
    <sheet name="ATÉ 3 UNIDADES" sheetId="6" r:id="rId3"/>
    <sheet name="HAB. EM SÉRIE (4 OU + UN)" sheetId="2" r:id="rId4"/>
    <sheet name="REFORMA E AMPLIAÇÃO" sheetId="5" r:id="rId5"/>
    <sheet name="HAB. COLETIVA (até 2 blocos)" sheetId="3" r:id="rId6"/>
    <sheet name="CJ. HAB. COLETIVA (3 ou + bl)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5" l="1"/>
  <c r="O10" i="5" s="1"/>
  <c r="I9" i="5"/>
  <c r="O9" i="5" s="1"/>
  <c r="I8" i="5"/>
  <c r="O16" i="5"/>
  <c r="O20" i="5" s="1"/>
  <c r="N11" i="5"/>
  <c r="M11" i="5"/>
  <c r="L11" i="5"/>
  <c r="K11" i="5"/>
  <c r="J11" i="5"/>
  <c r="I11" i="5" l="1"/>
  <c r="O8" i="5"/>
  <c r="O11" i="5" s="1"/>
  <c r="O18" i="5"/>
  <c r="O21" i="5"/>
  <c r="I20" i="2"/>
  <c r="I25" i="2" s="1"/>
  <c r="I11" i="2"/>
  <c r="C12" i="2"/>
  <c r="D12" i="2"/>
  <c r="E12" i="2"/>
  <c r="F12" i="2"/>
  <c r="G12" i="2"/>
  <c r="H12" i="2"/>
  <c r="J11" i="2"/>
  <c r="K11" i="2"/>
  <c r="P12" i="2"/>
  <c r="J5" i="2"/>
  <c r="K5" i="2"/>
  <c r="J6" i="2"/>
  <c r="K6" i="2"/>
  <c r="J7" i="2"/>
  <c r="K7" i="2"/>
  <c r="J8" i="2"/>
  <c r="K8" i="2"/>
  <c r="J9" i="2"/>
  <c r="K9" i="2"/>
  <c r="K4" i="2"/>
  <c r="J4" i="2"/>
  <c r="D8" i="1"/>
  <c r="E8" i="1"/>
  <c r="C8" i="1"/>
  <c r="I22" i="2" l="1"/>
  <c r="C38" i="2"/>
  <c r="C39" i="2"/>
  <c r="L11" i="2"/>
  <c r="K12" i="2"/>
  <c r="L8" i="2"/>
  <c r="I24" i="2"/>
  <c r="L9" i="2"/>
  <c r="L7" i="2"/>
  <c r="L5" i="2"/>
  <c r="J12" i="2"/>
  <c r="L6" i="2"/>
  <c r="L4" i="2"/>
  <c r="H31" i="8"/>
  <c r="D11" i="3"/>
  <c r="E11" i="3"/>
  <c r="F11" i="3"/>
  <c r="G11" i="3"/>
  <c r="H11" i="3"/>
  <c r="I11" i="3"/>
  <c r="J11" i="3"/>
  <c r="C11" i="3"/>
  <c r="L5" i="3"/>
  <c r="L6" i="3"/>
  <c r="L7" i="3"/>
  <c r="L8" i="3"/>
  <c r="L9" i="3"/>
  <c r="L10" i="3"/>
  <c r="L4" i="3"/>
  <c r="L11" i="3" s="1"/>
  <c r="K4" i="3"/>
  <c r="K10" i="3"/>
  <c r="M10" i="3" s="1"/>
  <c r="K9" i="3"/>
  <c r="K8" i="3"/>
  <c r="D12" i="8"/>
  <c r="E12" i="8"/>
  <c r="F12" i="8"/>
  <c r="G12" i="8"/>
  <c r="H12" i="8"/>
  <c r="C12" i="8"/>
  <c r="M11" i="8"/>
  <c r="I11" i="8"/>
  <c r="I10" i="8"/>
  <c r="I9" i="8"/>
  <c r="J9" i="8" s="1"/>
  <c r="K9" i="8" s="1"/>
  <c r="L9" i="8" s="1"/>
  <c r="I8" i="8"/>
  <c r="J8" i="8" s="1"/>
  <c r="I7" i="8"/>
  <c r="J7" i="8" s="1"/>
  <c r="K7" i="8" s="1"/>
  <c r="L7" i="8" s="1"/>
  <c r="I6" i="8"/>
  <c r="I5" i="8"/>
  <c r="J5" i="8" s="1"/>
  <c r="K5" i="8" s="1"/>
  <c r="L5" i="8" s="1"/>
  <c r="I4" i="8"/>
  <c r="M6" i="8"/>
  <c r="M7" i="8"/>
  <c r="M8" i="8"/>
  <c r="M10" i="8"/>
  <c r="M9" i="8"/>
  <c r="M5" i="8"/>
  <c r="M4" i="8"/>
  <c r="H17" i="8"/>
  <c r="H19" i="8" s="1"/>
  <c r="J5" i="6"/>
  <c r="J6" i="6"/>
  <c r="J4" i="6"/>
  <c r="F7" i="6"/>
  <c r="I12" i="6"/>
  <c r="I16" i="6" s="1"/>
  <c r="H7" i="6"/>
  <c r="G7" i="6"/>
  <c r="E7" i="6"/>
  <c r="D7" i="6"/>
  <c r="C7" i="6"/>
  <c r="I6" i="6"/>
  <c r="K6" i="6" s="1"/>
  <c r="I5" i="6"/>
  <c r="K5" i="6" s="1"/>
  <c r="I4" i="6"/>
  <c r="K4" i="6" s="1"/>
  <c r="M12" i="8" l="1"/>
  <c r="H23" i="8" s="1"/>
  <c r="I12" i="8"/>
  <c r="L4" i="6"/>
  <c r="L7" i="6" s="1"/>
  <c r="L6" i="6"/>
  <c r="L12" i="2"/>
  <c r="L5" i="6"/>
  <c r="M9" i="3"/>
  <c r="I14" i="6"/>
  <c r="I7" i="6"/>
  <c r="M8" i="3"/>
  <c r="J11" i="8"/>
  <c r="K11" i="8" s="1"/>
  <c r="J4" i="8"/>
  <c r="J6" i="8"/>
  <c r="K6" i="8" s="1"/>
  <c r="J10" i="8"/>
  <c r="K10" i="8" s="1"/>
  <c r="K8" i="8"/>
  <c r="L8" i="8" s="1"/>
  <c r="N7" i="8"/>
  <c r="O7" i="8" s="1"/>
  <c r="N5" i="8"/>
  <c r="O5" i="8" s="1"/>
  <c r="N9" i="8"/>
  <c r="O9" i="8" s="1"/>
  <c r="H21" i="8"/>
  <c r="K7" i="6"/>
  <c r="J7" i="6"/>
  <c r="I17" i="6" s="1"/>
  <c r="J12" i="8" l="1"/>
  <c r="N11" i="8"/>
  <c r="O11" i="8" s="1"/>
  <c r="L11" i="8"/>
  <c r="L10" i="8"/>
  <c r="N10" i="8"/>
  <c r="O10" i="8" s="1"/>
  <c r="L6" i="8"/>
  <c r="N6" i="8"/>
  <c r="O6" i="8" s="1"/>
  <c r="N8" i="8"/>
  <c r="O8" i="8" s="1"/>
  <c r="K4" i="8"/>
  <c r="K12" i="8" s="1"/>
  <c r="L4" i="8" l="1"/>
  <c r="L12" i="8" s="1"/>
  <c r="N4" i="8"/>
  <c r="N12" i="8" s="1"/>
  <c r="O4" i="8" l="1"/>
  <c r="O12" i="8" s="1"/>
  <c r="I29" i="3" l="1"/>
  <c r="K5" i="3"/>
  <c r="K6" i="3"/>
  <c r="K7" i="3"/>
  <c r="I16" i="3"/>
  <c r="I20" i="3" s="1"/>
  <c r="I9" i="2"/>
  <c r="I8" i="2"/>
  <c r="M8" i="2" s="1"/>
  <c r="R8" i="2" s="1"/>
  <c r="I7" i="2"/>
  <c r="I6" i="2"/>
  <c r="I5" i="2"/>
  <c r="I4" i="2"/>
  <c r="F13" i="1"/>
  <c r="F18" i="1" s="1"/>
  <c r="I12" i="2" l="1"/>
  <c r="F17" i="1"/>
  <c r="K11" i="3"/>
  <c r="M5" i="3"/>
  <c r="M6" i="3"/>
  <c r="M7" i="3"/>
  <c r="M4" i="3"/>
  <c r="I21" i="3"/>
  <c r="I18" i="3"/>
  <c r="Q8" i="2"/>
  <c r="M6" i="2"/>
  <c r="N8" i="2"/>
  <c r="O8" i="2" s="1"/>
  <c r="M7" i="2"/>
  <c r="R7" i="2" s="1"/>
  <c r="M9" i="2"/>
  <c r="M4" i="2"/>
  <c r="R4" i="2" s="1"/>
  <c r="F15" i="1"/>
  <c r="N4" i="2" l="1"/>
  <c r="O4" i="2" s="1"/>
  <c r="N6" i="2"/>
  <c r="O6" i="2" s="1"/>
  <c r="R6" i="2"/>
  <c r="N9" i="2"/>
  <c r="O9" i="2" s="1"/>
  <c r="R9" i="2"/>
  <c r="M11" i="3"/>
  <c r="Q7" i="2"/>
  <c r="N7" i="2"/>
  <c r="O7" i="2" s="1"/>
  <c r="Q4" i="2"/>
  <c r="Q9" i="2"/>
  <c r="Q6" i="2"/>
  <c r="M5" i="2"/>
  <c r="M12" i="2" l="1"/>
  <c r="R5" i="2"/>
  <c r="Q5" i="2"/>
  <c r="N5" i="2"/>
  <c r="N12" i="2" s="1"/>
  <c r="O12" i="2" l="1"/>
  <c r="M16" i="2"/>
  <c r="Q12" i="2"/>
  <c r="R12" i="2"/>
  <c r="O5" i="2"/>
</calcChain>
</file>

<file path=xl/sharedStrings.xml><?xml version="1.0" encoding="utf-8"?>
<sst xmlns="http://schemas.openxmlformats.org/spreadsheetml/2006/main" count="339" uniqueCount="90">
  <si>
    <t>SUBSOLO</t>
  </si>
  <si>
    <t>COMPUTÁVEL</t>
  </si>
  <si>
    <t>NÃO COMPUTÁVEL</t>
  </si>
  <si>
    <t>TÉRREO</t>
  </si>
  <si>
    <t>2º PAVIMENTO</t>
  </si>
  <si>
    <t>UN. 01</t>
  </si>
  <si>
    <t>UN. 02</t>
  </si>
  <si>
    <t>UN. 03</t>
  </si>
  <si>
    <t>UN. 04</t>
  </si>
  <si>
    <t>UN. 05</t>
  </si>
  <si>
    <t>UN. 06</t>
  </si>
  <si>
    <t>TOTAL</t>
  </si>
  <si>
    <t>ÁREA DO LOTE</t>
  </si>
  <si>
    <t>ÁREA ATINGIDA</t>
  </si>
  <si>
    <t>ÁREA REMANESCENTE</t>
  </si>
  <si>
    <t>ÁREA PERMEÁVEL</t>
  </si>
  <si>
    <t>TAXA DE OCUPAÇÃO</t>
  </si>
  <si>
    <t>COEFICIENTE DE APROVEITAMENTO</t>
  </si>
  <si>
    <t>m²</t>
  </si>
  <si>
    <t>%</t>
  </si>
  <si>
    <t>Nº DE UNIDADES HABITACIONAIS</t>
  </si>
  <si>
    <t>Nº DE VAGAS COBERTAS</t>
  </si>
  <si>
    <t>Nº DE VAGAS DESCOBERTAS</t>
  </si>
  <si>
    <t>RECREAÇÃO COBERTA</t>
  </si>
  <si>
    <t>SÓTÃO/ÁTICO</t>
  </si>
  <si>
    <t>QUADRO ESTATÍSTICO</t>
  </si>
  <si>
    <t>QUADRO DE ÁREAS</t>
  </si>
  <si>
    <t>TAXA DE PERMEABILIDADE</t>
  </si>
  <si>
    <t>ÁREA DE PROJEÇÃO</t>
  </si>
  <si>
    <t>Nº DE UNIDADES COMERCIAS</t>
  </si>
  <si>
    <t>ÁREA DO SUBLOTE</t>
  </si>
  <si>
    <t>Nº DE PAVIMENTOS</t>
  </si>
  <si>
    <t>ALTURA TOTAL DA CONSTRUÇÃO</t>
  </si>
  <si>
    <t xml:space="preserve">RECREAÇÃO </t>
  </si>
  <si>
    <t>MÍNIMO</t>
  </si>
  <si>
    <t>PROJETADO</t>
  </si>
  <si>
    <t>BLOCO 01</t>
  </si>
  <si>
    <t>BLOCO 02</t>
  </si>
  <si>
    <t>OUTROS</t>
  </si>
  <si>
    <t>ÁTICO</t>
  </si>
  <si>
    <t>TOTAL GERAL</t>
  </si>
  <si>
    <t>NORMAL</t>
  </si>
  <si>
    <t>KITINETE</t>
  </si>
  <si>
    <t>TOS</t>
  </si>
  <si>
    <t>CM</t>
  </si>
  <si>
    <t>ZONEAMENTO</t>
  </si>
  <si>
    <t>A CONSTRUIR</t>
  </si>
  <si>
    <t>RECREAÇÃO</t>
  </si>
  <si>
    <t>BARRILETE</t>
  </si>
  <si>
    <t>CAIXA D'ÁGUA</t>
  </si>
  <si>
    <t>COEFIENTE DE APROVEITAMENTO</t>
  </si>
  <si>
    <t>MEZANINO</t>
  </si>
  <si>
    <t>CASA DE MÁQUINAS</t>
  </si>
  <si>
    <t>ÁREA ÚTIL ATÉ 60m²</t>
  </si>
  <si>
    <t>ÁREA ÚTIL MAIOR 60m²</t>
  </si>
  <si>
    <t>...</t>
  </si>
  <si>
    <t>REAL</t>
  </si>
  <si>
    <t>ATINGIDA</t>
  </si>
  <si>
    <t>REMANESCENTE</t>
  </si>
  <si>
    <t>ÁREA PERMEÁVEL LOTE</t>
  </si>
  <si>
    <t>TAXA DE PERMEABILIDADE LOTE</t>
  </si>
  <si>
    <t>TAXA DE OCUPAÇÃO LOTE</t>
  </si>
  <si>
    <t>ALTURA TOTAL DA EDIFICAÇÃO</t>
  </si>
  <si>
    <t>Nº DE VAGAS</t>
  </si>
  <si>
    <t>NORMAIS</t>
  </si>
  <si>
    <t>REDUZIDAS</t>
  </si>
  <si>
    <t>COEFICIENTE DE APROVEITAMENTO LOTE</t>
  </si>
  <si>
    <t>COBERTA</t>
  </si>
  <si>
    <t>DESCOBERTA</t>
  </si>
  <si>
    <t>RUA INTERNA</t>
  </si>
  <si>
    <t>ÁREA     COMUM</t>
  </si>
  <si>
    <t>MÉMORIAL DE CÁLCULO DE PARÂMETROS URBANÍSTICOS EM SUBLOTES - DECRETO 1677/2012</t>
  </si>
  <si>
    <t>TAXA DE OCUPAÇÃO - ZONEAMENTO</t>
  </si>
  <si>
    <t>COEFICIENTE DE APROVEITAMENTO - ZONEAMENTO</t>
  </si>
  <si>
    <t>(máximo 60,00%)</t>
  </si>
  <si>
    <t>Subsolo</t>
  </si>
  <si>
    <t>Térreo</t>
  </si>
  <si>
    <t>Superior</t>
  </si>
  <si>
    <t>Caixa D'água</t>
  </si>
  <si>
    <t>.....</t>
  </si>
  <si>
    <t>EXEMPLO</t>
  </si>
  <si>
    <t>EXISTENTE
ALVARÁ xxxxxxxx</t>
  </si>
  <si>
    <t>EXISTENTE
ALVARA xxxxxx</t>
  </si>
  <si>
    <t>EXISTENTE
anterior a 1964</t>
  </si>
  <si>
    <t>ÁREA Á REFORMAR</t>
  </si>
  <si>
    <r>
      <rPr>
        <b/>
        <sz val="16"/>
        <color rgb="FF00B0F0"/>
        <rFont val="Arial Narrow"/>
        <family val="2"/>
      </rPr>
      <t xml:space="preserve">Quadros de áreas de reforma devem seguir o padrão de quadro do uso específico, devendo ser incluída coluna específica referente a AREA EXISTENTE. </t>
    </r>
    <r>
      <rPr>
        <b/>
        <sz val="16"/>
        <color rgb="FFFF0000"/>
        <rFont val="Arial Narrow"/>
        <family val="2"/>
      </rPr>
      <t xml:space="preserve">
</t>
    </r>
    <r>
      <rPr>
        <b/>
        <sz val="16"/>
        <color theme="9"/>
        <rFont val="Arial Narrow"/>
        <family val="2"/>
      </rPr>
      <t>Se as áreas existentes tiverem sido aprovadas por mais de um alavará de construção, ou serem cadastradas como existentes antes de 1965, cada alvará deve ser representado em uma coluna específica.</t>
    </r>
    <r>
      <rPr>
        <b/>
        <sz val="16"/>
        <color rgb="FFFF0000"/>
        <rFont val="Arial Narrow"/>
        <family val="2"/>
      </rPr>
      <t xml:space="preserve">
</t>
    </r>
    <r>
      <rPr>
        <b/>
        <sz val="16"/>
        <color theme="5"/>
        <rFont val="Arial Narrow"/>
        <family val="2"/>
      </rPr>
      <t>DEVERÁ INFORMAR A ÁREA A REFORMAR TOTAL DE CADA UNIDADE</t>
    </r>
  </si>
  <si>
    <t>PAVIMENTO TIPO (x ?)</t>
  </si>
  <si>
    <t>BLOCO ...........</t>
  </si>
  <si>
    <t>ORIENTAÇÕES PARA USO DOS MODELOS DE QUADRO DE ÁREAS.</t>
  </si>
  <si>
    <r>
      <t xml:space="preserve">1 - Este arquivo apresenta alguns MODELOS de quadro de áreas que devem ser utilizados para padronizar a apresentação de documentos no processo eletrônico de aprovação de projetos.
2 - Os modelos devem ser adaptados para cada uso, devendo seguir o padrão de apresentação.
3 - No processo eletrônico, deverá ser anexado o arquivo EXCEL com o quadro de áreas para que os técnicos da SMU possam verificar o correto atendimento aos parâmetros urbanisticos.
4 - Este arquivo com modelo de quadro contem diversas abas. Entretanto, o quadro de áreas a ser apresentado no processo eletronico deverá conter apenas a 1 aba com as respectivas áreas do projeto. As demais abas deverão ser excluídas. Esta aba com orientações pode ser mantida no arquivo a ser enviado
</t>
    </r>
    <r>
      <rPr>
        <b/>
        <sz val="14"/>
        <color rgb="FFFF0000"/>
        <rFont val="Calibri"/>
        <family val="2"/>
        <scheme val="minor"/>
      </rPr>
      <t xml:space="preserve">
5 - O quadro de áreas em formato excel deverá ser IDÊNTICO ao quadro de áreas representado na prancha do projeto.
</t>
    </r>
    <r>
      <rPr>
        <b/>
        <sz val="14"/>
        <rFont val="Calibri"/>
        <family val="2"/>
        <scheme val="minor"/>
      </rPr>
      <t xml:space="preserve">
É de total responsabildiade do AUTOR DO PROJETO o preenchimento correto das áreas, bem como a apresentação dos documentos e arquivos dentro do padrão solicitado pela PMC. Além disto, o profissional deve conferir criteriosamente todos os documentos anexados no processo eletrônico e garantir a compatibilidade entre as informações presentes em cada arquivo.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</si>
</sst>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.00"/>
    <numFmt numFmtId="165" formatCode="00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sz val="11"/>
      <name val="Arial Narrow"/>
      <family val="2"/>
    </font>
    <font>
      <b/>
      <sz val="24"/>
      <name val="Arial Narrow"/>
      <family val="2"/>
    </font>
    <font>
      <b/>
      <sz val="18"/>
      <color rgb="FFFF0000"/>
      <name val="Arial Narrow"/>
      <family val="2"/>
    </font>
    <font>
      <sz val="12"/>
      <color theme="5"/>
      <name val="Arial Narrow"/>
      <family val="2"/>
    </font>
    <font>
      <sz val="10"/>
      <color theme="5"/>
      <name val="Arial Narrow"/>
      <family val="2"/>
    </font>
    <font>
      <sz val="12"/>
      <color rgb="FF00B0F0"/>
      <name val="Arial Narrow"/>
      <family val="2"/>
    </font>
    <font>
      <sz val="11"/>
      <color rgb="FF00B0F0"/>
      <name val="Arial Narrow"/>
      <family val="2"/>
    </font>
    <font>
      <sz val="10"/>
      <color rgb="FF00B0F0"/>
      <name val="Arial Narrow"/>
      <family val="2"/>
    </font>
    <font>
      <b/>
      <sz val="16"/>
      <color rgb="FFFF0000"/>
      <name val="Arial Narrow"/>
      <family val="2"/>
    </font>
    <font>
      <b/>
      <sz val="16"/>
      <color rgb="FF00B0F0"/>
      <name val="Arial Narrow"/>
      <family val="2"/>
    </font>
    <font>
      <b/>
      <sz val="16"/>
      <color theme="9"/>
      <name val="Arial Narrow"/>
      <family val="2"/>
    </font>
    <font>
      <b/>
      <sz val="16"/>
      <color theme="5"/>
      <name val="Arial Narrow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theme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9"/>
      </right>
      <top style="thin">
        <color indexed="64"/>
      </top>
      <bottom style="thin">
        <color indexed="64"/>
      </bottom>
      <diagonal/>
    </border>
    <border>
      <left style="thick">
        <color theme="9"/>
      </left>
      <right style="thin">
        <color indexed="64"/>
      </right>
      <top style="thin">
        <color indexed="64"/>
      </top>
      <bottom style="thick">
        <color theme="9"/>
      </bottom>
      <diagonal/>
    </border>
    <border>
      <left style="thin">
        <color indexed="64"/>
      </left>
      <right style="thick">
        <color theme="9"/>
      </right>
      <top style="thin">
        <color indexed="64"/>
      </top>
      <bottom style="thick">
        <color theme="9"/>
      </bottom>
      <diagonal/>
    </border>
    <border>
      <left style="thick">
        <color theme="9"/>
      </left>
      <right/>
      <top/>
      <bottom style="thin">
        <color indexed="64"/>
      </bottom>
      <diagonal/>
    </border>
    <border>
      <left/>
      <right style="thick">
        <color theme="9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10" fontId="5" fillId="0" borderId="0" xfId="0" applyNumberFormat="1" applyFont="1" applyAlignment="1">
      <alignment vertical="top" wrapText="1"/>
    </xf>
    <xf numFmtId="0" fontId="4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 indent="1"/>
    </xf>
    <xf numFmtId="10" fontId="4" fillId="0" borderId="0" xfId="0" applyNumberFormat="1" applyFont="1" applyAlignment="1">
      <alignment horizontal="right" vertical="center" wrapText="1" indent="1"/>
    </xf>
    <xf numFmtId="165" fontId="4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Alignment="1">
      <alignment horizontal="right" vertical="center" wrapText="1" indent="1"/>
    </xf>
    <xf numFmtId="0" fontId="4" fillId="0" borderId="0" xfId="0" applyNumberFormat="1" applyFont="1" applyBorder="1" applyAlignment="1">
      <alignment horizontal="right" vertical="center" wrapText="1" indent="1"/>
    </xf>
    <xf numFmtId="0" fontId="4" fillId="0" borderId="0" xfId="0" applyFont="1" applyBorder="1" applyAlignment="1">
      <alignment horizontal="right" vertical="center" wrapText="1" inden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10" fontId="4" fillId="0" borderId="1" xfId="0" applyNumberFormat="1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10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4" fontId="12" fillId="2" borderId="15" xfId="0" applyNumberFormat="1" applyFont="1" applyFill="1" applyBorder="1" applyAlignment="1">
      <alignment vertical="center" wrapText="1"/>
    </xf>
    <xf numFmtId="164" fontId="12" fillId="2" borderId="16" xfId="0" applyNumberFormat="1" applyFont="1" applyFill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 indent="1"/>
    </xf>
    <xf numFmtId="10" fontId="4" fillId="0" borderId="1" xfId="0" applyNumberFormat="1" applyFont="1" applyBorder="1" applyAlignment="1">
      <alignment horizontal="right" vertical="center" wrapText="1" indent="1"/>
    </xf>
    <xf numFmtId="165" fontId="4" fillId="0" borderId="1" xfId="0" applyNumberFormat="1" applyFont="1" applyBorder="1" applyAlignment="1">
      <alignment horizontal="right" vertical="center" wrapText="1" inden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0" xfId="0" applyFont="1" applyBorder="1" applyAlignment="1">
      <alignment horizontal="left" vertical="center" wrapText="1" indent="2"/>
    </xf>
    <xf numFmtId="2" fontId="4" fillId="0" borderId="0" xfId="0" applyNumberFormat="1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abSelected="1" workbookViewId="0">
      <selection activeCell="Q16" sqref="Q16"/>
    </sheetView>
  </sheetViews>
  <sheetFormatPr defaultRowHeight="15" x14ac:dyDescent="0.25"/>
  <sheetData>
    <row r="1" spans="2:14" ht="75.75" customHeight="1" x14ac:dyDescent="0.25">
      <c r="B1" s="62" t="s">
        <v>88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2:14" x14ac:dyDescent="0.25">
      <c r="B2" s="61" t="s">
        <v>89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2:14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2:14" x14ac:dyDescent="0.25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2:14" x14ac:dyDescent="0.25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2:14" x14ac:dyDescent="0.25"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2:14" x14ac:dyDescent="0.25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2:14" x14ac:dyDescent="0.25"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2:14" x14ac:dyDescent="0.25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2:14" x14ac:dyDescent="0.25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2:14" x14ac:dyDescent="0.25"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2" spans="2:14" x14ac:dyDescent="0.25"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</row>
    <row r="13" spans="2:14" x14ac:dyDescent="0.25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spans="2:14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</row>
    <row r="15" spans="2:14" x14ac:dyDescent="0.25"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</row>
    <row r="16" spans="2:14" x14ac:dyDescent="0.25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2:14" x14ac:dyDescent="0.25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spans="2:14" x14ac:dyDescent="0.25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</row>
    <row r="19" spans="2:14" x14ac:dyDescent="0.25"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spans="2:14" x14ac:dyDescent="0.25"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2:14" x14ac:dyDescent="0.25"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2:14" x14ac:dyDescent="0.25"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</row>
    <row r="23" spans="2:14" x14ac:dyDescent="0.25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spans="2:14" x14ac:dyDescent="0.25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</row>
    <row r="25" spans="2:14" x14ac:dyDescent="0.25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spans="2:14" x14ac:dyDescent="0.25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</row>
    <row r="27" spans="2:14" x14ac:dyDescent="0.25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</row>
    <row r="28" spans="2:14" x14ac:dyDescent="0.25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2:14" x14ac:dyDescent="0.25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</row>
    <row r="30" spans="2:14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</row>
    <row r="31" spans="2:14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</row>
    <row r="32" spans="2:14" x14ac:dyDescent="0.25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</row>
    <row r="33" spans="2:14" x14ac:dyDescent="0.25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</row>
  </sheetData>
  <mergeCells count="2">
    <mergeCell ref="B2:N33"/>
    <mergeCell ref="B1:N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zoomScale="115" zoomScaleNormal="115" workbookViewId="0">
      <selection activeCell="I6" sqref="I6"/>
    </sheetView>
  </sheetViews>
  <sheetFormatPr defaultRowHeight="15.75" x14ac:dyDescent="0.25"/>
  <cols>
    <col min="1" max="1" width="3.28515625" style="1" customWidth="1"/>
    <col min="2" max="2" width="16" style="1" customWidth="1"/>
    <col min="3" max="4" width="13.28515625" style="1" customWidth="1"/>
    <col min="5" max="5" width="14.28515625" style="1" customWidth="1"/>
    <col min="6" max="8" width="13.28515625" style="1" customWidth="1"/>
    <col min="9" max="12" width="13.42578125" style="1" customWidth="1"/>
    <col min="13" max="16384" width="9.140625" style="1"/>
  </cols>
  <sheetData>
    <row r="1" spans="2:10" ht="15.75" customHeight="1" x14ac:dyDescent="0.25">
      <c r="B1" s="66" t="s">
        <v>26</v>
      </c>
      <c r="C1" s="67"/>
      <c r="D1" s="67"/>
      <c r="E1" s="67"/>
      <c r="F1" s="68"/>
    </row>
    <row r="2" spans="2:10" s="20" customFormat="1" ht="31.5" customHeight="1" x14ac:dyDescent="0.25">
      <c r="B2" s="29" t="s">
        <v>46</v>
      </c>
      <c r="C2" s="34" t="s">
        <v>1</v>
      </c>
      <c r="D2" s="34" t="s">
        <v>2</v>
      </c>
      <c r="E2" s="29" t="s">
        <v>11</v>
      </c>
    </row>
    <row r="3" spans="2:10" ht="16.5" x14ac:dyDescent="0.25">
      <c r="B3" s="21" t="s">
        <v>75</v>
      </c>
      <c r="C3" s="35">
        <v>0</v>
      </c>
      <c r="D3" s="35">
        <v>0</v>
      </c>
      <c r="E3" s="35">
        <v>0</v>
      </c>
    </row>
    <row r="4" spans="2:10" ht="16.5" x14ac:dyDescent="0.25">
      <c r="B4" s="21" t="s">
        <v>76</v>
      </c>
      <c r="C4" s="35">
        <v>0</v>
      </c>
      <c r="D4" s="35">
        <v>0</v>
      </c>
      <c r="E4" s="35">
        <v>0</v>
      </c>
    </row>
    <row r="5" spans="2:10" ht="16.5" x14ac:dyDescent="0.25">
      <c r="B5" s="29" t="s">
        <v>77</v>
      </c>
      <c r="C5" s="35">
        <v>0</v>
      </c>
      <c r="D5" s="35">
        <v>0</v>
      </c>
      <c r="E5" s="35">
        <v>0</v>
      </c>
    </row>
    <row r="6" spans="2:10" ht="16.5" x14ac:dyDescent="0.25">
      <c r="B6" s="29" t="s">
        <v>55</v>
      </c>
      <c r="C6" s="35">
        <v>0</v>
      </c>
      <c r="D6" s="35">
        <v>0</v>
      </c>
      <c r="E6" s="35">
        <v>0</v>
      </c>
    </row>
    <row r="7" spans="2:10" ht="16.5" x14ac:dyDescent="0.25">
      <c r="B7" s="21" t="s">
        <v>78</v>
      </c>
      <c r="C7" s="35">
        <v>0</v>
      </c>
      <c r="D7" s="35">
        <v>0</v>
      </c>
      <c r="E7" s="35">
        <v>0</v>
      </c>
    </row>
    <row r="8" spans="2:10" ht="16.5" x14ac:dyDescent="0.25">
      <c r="B8" s="21" t="s">
        <v>11</v>
      </c>
      <c r="C8" s="35">
        <f>SUM(C3:C7)</f>
        <v>0</v>
      </c>
      <c r="D8" s="35">
        <f t="shared" ref="D8:E8" si="0">SUM(D3:D7)</f>
        <v>0</v>
      </c>
      <c r="E8" s="35">
        <f t="shared" si="0"/>
        <v>0</v>
      </c>
    </row>
    <row r="9" spans="2:10" ht="9.75" customHeight="1" x14ac:dyDescent="0.25">
      <c r="B9" s="65"/>
      <c r="C9" s="65"/>
      <c r="D9" s="65"/>
      <c r="E9" s="65"/>
      <c r="F9" s="65"/>
      <c r="G9" s="65"/>
      <c r="H9" s="65"/>
      <c r="I9" s="65"/>
    </row>
    <row r="10" spans="2:10" ht="15.75" customHeight="1" x14ac:dyDescent="0.25">
      <c r="B10" s="64" t="s">
        <v>25</v>
      </c>
      <c r="C10" s="64"/>
      <c r="D10" s="64"/>
      <c r="E10" s="64"/>
      <c r="F10" s="64"/>
      <c r="G10" s="14"/>
      <c r="H10" s="14"/>
      <c r="I10" s="14"/>
      <c r="J10" s="14"/>
    </row>
    <row r="11" spans="2:10" ht="15.75" customHeight="1" x14ac:dyDescent="0.25">
      <c r="B11" s="63" t="s">
        <v>12</v>
      </c>
      <c r="C11" s="63"/>
      <c r="D11" s="63"/>
      <c r="E11" s="36" t="s">
        <v>56</v>
      </c>
      <c r="F11" s="26">
        <v>0</v>
      </c>
      <c r="G11" s="8" t="s">
        <v>18</v>
      </c>
      <c r="H11" s="15"/>
    </row>
    <row r="12" spans="2:10" x14ac:dyDescent="0.25">
      <c r="B12" s="63"/>
      <c r="C12" s="63"/>
      <c r="D12" s="63"/>
      <c r="E12" s="37" t="s">
        <v>57</v>
      </c>
      <c r="F12" s="27">
        <v>0</v>
      </c>
      <c r="G12" s="8" t="s">
        <v>18</v>
      </c>
      <c r="H12" s="15"/>
    </row>
    <row r="13" spans="2:10" x14ac:dyDescent="0.25">
      <c r="B13" s="63"/>
      <c r="C13" s="63"/>
      <c r="D13" s="63"/>
      <c r="E13" s="37" t="s">
        <v>58</v>
      </c>
      <c r="F13" s="23">
        <f>F11-F12</f>
        <v>0</v>
      </c>
      <c r="G13" s="8" t="s">
        <v>18</v>
      </c>
      <c r="H13" s="15"/>
    </row>
    <row r="14" spans="2:10" ht="15.75" customHeight="1" x14ac:dyDescent="0.25">
      <c r="B14" s="69" t="s">
        <v>59</v>
      </c>
      <c r="C14" s="70"/>
      <c r="D14" s="70"/>
      <c r="E14" s="71"/>
      <c r="F14" s="27">
        <v>0</v>
      </c>
      <c r="G14" s="8" t="s">
        <v>18</v>
      </c>
      <c r="H14" s="15"/>
    </row>
    <row r="15" spans="2:10" ht="15.75" customHeight="1" x14ac:dyDescent="0.25">
      <c r="B15" s="69" t="s">
        <v>60</v>
      </c>
      <c r="C15" s="70"/>
      <c r="D15" s="70"/>
      <c r="E15" s="71"/>
      <c r="F15" s="25" t="e">
        <f>F14/F13</f>
        <v>#DIV/0!</v>
      </c>
      <c r="G15" s="8" t="s">
        <v>19</v>
      </c>
      <c r="H15" s="15"/>
    </row>
    <row r="16" spans="2:10" ht="15.75" customHeight="1" x14ac:dyDescent="0.25">
      <c r="B16" s="69" t="s">
        <v>28</v>
      </c>
      <c r="C16" s="70"/>
      <c r="D16" s="70"/>
      <c r="E16" s="71"/>
      <c r="F16" s="27">
        <v>0</v>
      </c>
      <c r="G16" s="8" t="s">
        <v>18</v>
      </c>
      <c r="H16" s="15"/>
    </row>
    <row r="17" spans="2:8" ht="15.75" customHeight="1" x14ac:dyDescent="0.25">
      <c r="B17" s="69" t="s">
        <v>61</v>
      </c>
      <c r="C17" s="70"/>
      <c r="D17" s="70"/>
      <c r="E17" s="71"/>
      <c r="F17" s="25" t="e">
        <f>F16/F13</f>
        <v>#DIV/0!</v>
      </c>
      <c r="G17" s="8" t="s">
        <v>19</v>
      </c>
      <c r="H17" s="15"/>
    </row>
    <row r="18" spans="2:8" ht="25.5" customHeight="1" x14ac:dyDescent="0.25">
      <c r="B18" s="69" t="s">
        <v>17</v>
      </c>
      <c r="C18" s="70"/>
      <c r="D18" s="70"/>
      <c r="E18" s="71"/>
      <c r="F18" s="23" t="e">
        <f>#REF!/F13</f>
        <v>#REF!</v>
      </c>
      <c r="G18" s="2"/>
      <c r="H18" s="15"/>
    </row>
    <row r="19" spans="2:8" ht="15.75" customHeight="1" x14ac:dyDescent="0.25">
      <c r="B19" s="69" t="s">
        <v>31</v>
      </c>
      <c r="C19" s="70"/>
      <c r="D19" s="70"/>
      <c r="E19" s="71"/>
      <c r="F19" s="28">
        <v>0</v>
      </c>
      <c r="G19" s="2"/>
      <c r="H19" s="15"/>
    </row>
    <row r="20" spans="2:8" ht="29.25" customHeight="1" x14ac:dyDescent="0.25">
      <c r="B20" s="69" t="s">
        <v>62</v>
      </c>
      <c r="C20" s="70"/>
      <c r="D20" s="70"/>
      <c r="E20" s="71"/>
      <c r="F20" s="27">
        <v>0</v>
      </c>
      <c r="G20" s="8" t="s">
        <v>18</v>
      </c>
      <c r="H20" s="15"/>
    </row>
    <row r="21" spans="2:8" ht="15.75" customHeight="1" x14ac:dyDescent="0.25">
      <c r="B21" s="63" t="s">
        <v>63</v>
      </c>
      <c r="C21" s="63"/>
      <c r="D21" s="63"/>
      <c r="E21" s="37" t="s">
        <v>64</v>
      </c>
      <c r="F21" s="28">
        <v>0</v>
      </c>
      <c r="G21" s="2"/>
      <c r="H21" s="15"/>
    </row>
    <row r="22" spans="2:8" ht="15.75" customHeight="1" x14ac:dyDescent="0.25">
      <c r="B22" s="63"/>
      <c r="C22" s="63"/>
      <c r="D22" s="63"/>
      <c r="E22" s="37" t="s">
        <v>65</v>
      </c>
      <c r="F22" s="28">
        <v>0</v>
      </c>
      <c r="G22" s="2"/>
      <c r="H22" s="15"/>
    </row>
  </sheetData>
  <mergeCells count="12">
    <mergeCell ref="B11:D13"/>
    <mergeCell ref="B10:F10"/>
    <mergeCell ref="B9:I9"/>
    <mergeCell ref="B1:F1"/>
    <mergeCell ref="B21:D22"/>
    <mergeCell ref="B14:E14"/>
    <mergeCell ref="B15:E15"/>
    <mergeCell ref="B16:E16"/>
    <mergeCell ref="B17:E17"/>
    <mergeCell ref="B18:E18"/>
    <mergeCell ref="B19:E19"/>
    <mergeCell ref="B20:E2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zoomScaleNormal="100" zoomScalePageLayoutView="85" workbookViewId="0">
      <selection activeCell="I14" sqref="I14"/>
    </sheetView>
  </sheetViews>
  <sheetFormatPr defaultRowHeight="15.75" x14ac:dyDescent="0.25"/>
  <cols>
    <col min="1" max="1" width="3.28515625" style="1" customWidth="1"/>
    <col min="2" max="2" width="7" style="1" bestFit="1" customWidth="1"/>
    <col min="3" max="4" width="13.28515625" style="1" customWidth="1"/>
    <col min="5" max="8" width="13.28515625" style="1" bestFit="1" customWidth="1"/>
    <col min="9" max="9" width="14.42578125" style="1" customWidth="1"/>
    <col min="10" max="11" width="13.28515625" style="1" bestFit="1" customWidth="1"/>
    <col min="12" max="12" width="6" style="1" bestFit="1" customWidth="1"/>
    <col min="13" max="16384" width="9.140625" style="1"/>
  </cols>
  <sheetData>
    <row r="1" spans="2:12" ht="15.75" customHeight="1" x14ac:dyDescent="0.25">
      <c r="B1" s="64" t="s">
        <v>26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72"/>
      <c r="C2" s="72" t="s">
        <v>0</v>
      </c>
      <c r="D2" s="72"/>
      <c r="E2" s="72" t="s">
        <v>3</v>
      </c>
      <c r="F2" s="72"/>
      <c r="G2" s="72" t="s">
        <v>4</v>
      </c>
      <c r="H2" s="72"/>
      <c r="I2" s="21" t="s">
        <v>24</v>
      </c>
      <c r="J2" s="72" t="s">
        <v>11</v>
      </c>
      <c r="K2" s="72"/>
      <c r="L2" s="72"/>
    </row>
    <row r="3" spans="2:12" s="2" customFormat="1" ht="49.5" customHeight="1" x14ac:dyDescent="0.25">
      <c r="B3" s="72"/>
      <c r="C3" s="22" t="s">
        <v>1</v>
      </c>
      <c r="D3" s="22" t="s">
        <v>2</v>
      </c>
      <c r="E3" s="22" t="s">
        <v>1</v>
      </c>
      <c r="F3" s="22" t="s">
        <v>2</v>
      </c>
      <c r="G3" s="22" t="s">
        <v>1</v>
      </c>
      <c r="H3" s="22" t="s">
        <v>2</v>
      </c>
      <c r="I3" s="22" t="s">
        <v>2</v>
      </c>
      <c r="J3" s="22" t="s">
        <v>1</v>
      </c>
      <c r="K3" s="22" t="s">
        <v>2</v>
      </c>
      <c r="L3" s="31" t="s">
        <v>11</v>
      </c>
    </row>
    <row r="4" spans="2:12" ht="16.5" x14ac:dyDescent="0.25">
      <c r="B4" s="22" t="s">
        <v>5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f t="shared" ref="I4:I6" si="0">SUM(C4:H4)</f>
        <v>0</v>
      </c>
      <c r="J4" s="23">
        <f>C4+E4+G4</f>
        <v>0</v>
      </c>
      <c r="K4" s="23">
        <f>D4+F4+H4+I4</f>
        <v>0</v>
      </c>
      <c r="L4" s="23">
        <f>J4+K4</f>
        <v>0</v>
      </c>
    </row>
    <row r="5" spans="2:12" ht="16.5" x14ac:dyDescent="0.25">
      <c r="B5" s="22" t="s">
        <v>6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f t="shared" si="0"/>
        <v>0</v>
      </c>
      <c r="J5" s="23">
        <f t="shared" ref="J5:J6" si="1">C5+E5+G5</f>
        <v>0</v>
      </c>
      <c r="K5" s="23">
        <f t="shared" ref="K5:K6" si="2">D5+F5+H5+I5</f>
        <v>0</v>
      </c>
      <c r="L5" s="23">
        <f t="shared" ref="L5:L6" si="3">J5+K5</f>
        <v>0</v>
      </c>
    </row>
    <row r="6" spans="2:12" ht="16.5" x14ac:dyDescent="0.25">
      <c r="B6" s="22" t="s">
        <v>7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f t="shared" si="0"/>
        <v>0</v>
      </c>
      <c r="J6" s="23">
        <f t="shared" si="1"/>
        <v>0</v>
      </c>
      <c r="K6" s="23">
        <f t="shared" si="2"/>
        <v>0</v>
      </c>
      <c r="L6" s="23">
        <f t="shared" si="3"/>
        <v>0</v>
      </c>
    </row>
    <row r="7" spans="2:12" ht="16.5" x14ac:dyDescent="0.25">
      <c r="B7" s="22" t="s">
        <v>11</v>
      </c>
      <c r="C7" s="23">
        <f t="shared" ref="C7:L7" si="4">SUM(C4:C6)</f>
        <v>0</v>
      </c>
      <c r="D7" s="23">
        <f t="shared" si="4"/>
        <v>0</v>
      </c>
      <c r="E7" s="23">
        <f t="shared" si="4"/>
        <v>0</v>
      </c>
      <c r="F7" s="23">
        <f t="shared" si="4"/>
        <v>0</v>
      </c>
      <c r="G7" s="23">
        <f t="shared" si="4"/>
        <v>0</v>
      </c>
      <c r="H7" s="23">
        <f t="shared" si="4"/>
        <v>0</v>
      </c>
      <c r="I7" s="23">
        <f t="shared" si="4"/>
        <v>0</v>
      </c>
      <c r="J7" s="23">
        <f t="shared" si="4"/>
        <v>0</v>
      </c>
      <c r="K7" s="23">
        <f t="shared" si="4"/>
        <v>0</v>
      </c>
      <c r="L7" s="23">
        <f t="shared" si="4"/>
        <v>0</v>
      </c>
    </row>
    <row r="8" spans="2:12" ht="9.75" customHeight="1" x14ac:dyDescent="0.25">
      <c r="B8" s="65"/>
      <c r="C8" s="65"/>
      <c r="D8" s="65"/>
      <c r="E8" s="65"/>
      <c r="F8" s="65"/>
      <c r="G8" s="65"/>
      <c r="H8" s="65"/>
      <c r="I8" s="65"/>
    </row>
    <row r="9" spans="2:12" ht="15.75" customHeight="1" x14ac:dyDescent="0.25">
      <c r="B9" s="64" t="s">
        <v>25</v>
      </c>
      <c r="C9" s="64"/>
      <c r="D9" s="64"/>
      <c r="E9" s="64"/>
      <c r="F9" s="64"/>
      <c r="G9" s="64"/>
      <c r="H9" s="64"/>
      <c r="I9" s="64"/>
      <c r="J9" s="64"/>
    </row>
    <row r="10" spans="2:12" ht="16.5" customHeight="1" x14ac:dyDescent="0.25">
      <c r="B10" s="73" t="s">
        <v>12</v>
      </c>
      <c r="C10" s="74"/>
      <c r="D10" s="74"/>
      <c r="E10" s="74"/>
      <c r="F10" s="75"/>
      <c r="G10" s="69" t="s">
        <v>56</v>
      </c>
      <c r="H10" s="71"/>
      <c r="I10" s="27">
        <v>0</v>
      </c>
      <c r="J10" s="32" t="s">
        <v>18</v>
      </c>
    </row>
    <row r="11" spans="2:12" ht="16.5" customHeight="1" x14ac:dyDescent="0.25">
      <c r="B11" s="76"/>
      <c r="C11" s="77"/>
      <c r="D11" s="77"/>
      <c r="E11" s="77"/>
      <c r="F11" s="78"/>
      <c r="G11" s="69" t="s">
        <v>57</v>
      </c>
      <c r="H11" s="71"/>
      <c r="I11" s="27">
        <v>0</v>
      </c>
      <c r="J11" s="32" t="s">
        <v>18</v>
      </c>
    </row>
    <row r="12" spans="2:12" ht="16.5" customHeight="1" x14ac:dyDescent="0.25">
      <c r="B12" s="79"/>
      <c r="C12" s="80"/>
      <c r="D12" s="80"/>
      <c r="E12" s="80"/>
      <c r="F12" s="81"/>
      <c r="G12" s="69" t="s">
        <v>58</v>
      </c>
      <c r="H12" s="71"/>
      <c r="I12" s="23">
        <f>I10-I11</f>
        <v>0</v>
      </c>
      <c r="J12" s="32" t="s">
        <v>18</v>
      </c>
    </row>
    <row r="13" spans="2:12" ht="16.5" customHeight="1" x14ac:dyDescent="0.25">
      <c r="B13" s="63" t="s">
        <v>59</v>
      </c>
      <c r="C13" s="63"/>
      <c r="D13" s="63"/>
      <c r="E13" s="63"/>
      <c r="F13" s="63"/>
      <c r="G13" s="63"/>
      <c r="H13" s="63"/>
      <c r="I13" s="27">
        <v>0</v>
      </c>
      <c r="J13" s="32" t="s">
        <v>18</v>
      </c>
    </row>
    <row r="14" spans="2:12" ht="16.5" customHeight="1" x14ac:dyDescent="0.25">
      <c r="B14" s="63" t="s">
        <v>60</v>
      </c>
      <c r="C14" s="63"/>
      <c r="D14" s="63"/>
      <c r="E14" s="63"/>
      <c r="F14" s="63"/>
      <c r="G14" s="63"/>
      <c r="H14" s="63"/>
      <c r="I14" s="25" t="e">
        <f>I13/I12</f>
        <v>#DIV/0!</v>
      </c>
      <c r="J14" s="32" t="s">
        <v>19</v>
      </c>
    </row>
    <row r="15" spans="2:12" ht="16.5" customHeight="1" x14ac:dyDescent="0.25">
      <c r="B15" s="63" t="s">
        <v>28</v>
      </c>
      <c r="C15" s="63"/>
      <c r="D15" s="63"/>
      <c r="E15" s="63"/>
      <c r="F15" s="63"/>
      <c r="G15" s="63"/>
      <c r="H15" s="63"/>
      <c r="I15" s="27">
        <v>0</v>
      </c>
      <c r="J15" s="32" t="s">
        <v>18</v>
      </c>
    </row>
    <row r="16" spans="2:12" ht="16.5" customHeight="1" x14ac:dyDescent="0.25">
      <c r="B16" s="63" t="s">
        <v>61</v>
      </c>
      <c r="C16" s="63"/>
      <c r="D16" s="63"/>
      <c r="E16" s="63"/>
      <c r="F16" s="63"/>
      <c r="G16" s="63"/>
      <c r="H16" s="63"/>
      <c r="I16" s="25" t="e">
        <f>I15/I12</f>
        <v>#DIV/0!</v>
      </c>
      <c r="J16" s="32" t="s">
        <v>19</v>
      </c>
    </row>
    <row r="17" spans="2:10" ht="15.75" customHeight="1" x14ac:dyDescent="0.25">
      <c r="B17" s="63" t="s">
        <v>66</v>
      </c>
      <c r="C17" s="63"/>
      <c r="D17" s="63"/>
      <c r="E17" s="63"/>
      <c r="F17" s="63"/>
      <c r="G17" s="63"/>
      <c r="H17" s="63"/>
      <c r="I17" s="23" t="e">
        <f>J7/I12</f>
        <v>#DIV/0!</v>
      </c>
      <c r="J17" s="31"/>
    </row>
    <row r="18" spans="2:10" ht="15.75" customHeight="1" x14ac:dyDescent="0.25">
      <c r="B18" s="63" t="s">
        <v>29</v>
      </c>
      <c r="C18" s="63"/>
      <c r="D18" s="63"/>
      <c r="E18" s="63"/>
      <c r="F18" s="63"/>
      <c r="G18" s="63"/>
      <c r="H18" s="63"/>
      <c r="I18" s="28">
        <v>0</v>
      </c>
      <c r="J18" s="31"/>
    </row>
    <row r="19" spans="2:10" ht="15.75" customHeight="1" x14ac:dyDescent="0.25">
      <c r="B19" s="63" t="s">
        <v>20</v>
      </c>
      <c r="C19" s="63"/>
      <c r="D19" s="63"/>
      <c r="E19" s="63"/>
      <c r="F19" s="63"/>
      <c r="G19" s="63"/>
      <c r="H19" s="63"/>
      <c r="I19" s="28">
        <v>0</v>
      </c>
      <c r="J19" s="31"/>
    </row>
    <row r="20" spans="2:10" ht="15.75" customHeight="1" x14ac:dyDescent="0.25">
      <c r="B20" s="63" t="s">
        <v>31</v>
      </c>
      <c r="C20" s="63"/>
      <c r="D20" s="63"/>
      <c r="E20" s="63"/>
      <c r="F20" s="63"/>
      <c r="G20" s="63"/>
      <c r="H20" s="63"/>
      <c r="I20" s="28">
        <v>0</v>
      </c>
      <c r="J20" s="31"/>
    </row>
    <row r="21" spans="2:10" ht="15.75" customHeight="1" x14ac:dyDescent="0.25">
      <c r="B21" s="63" t="s">
        <v>32</v>
      </c>
      <c r="C21" s="63"/>
      <c r="D21" s="63"/>
      <c r="E21" s="63"/>
      <c r="F21" s="63"/>
      <c r="G21" s="63"/>
      <c r="H21" s="63"/>
      <c r="I21" s="27">
        <v>0</v>
      </c>
      <c r="J21" s="32" t="s">
        <v>18</v>
      </c>
    </row>
    <row r="22" spans="2:10" ht="15.75" customHeight="1" x14ac:dyDescent="0.25">
      <c r="B22" s="73" t="s">
        <v>63</v>
      </c>
      <c r="C22" s="74"/>
      <c r="D22" s="74"/>
      <c r="E22" s="74"/>
      <c r="F22" s="75"/>
      <c r="G22" s="69" t="s">
        <v>64</v>
      </c>
      <c r="H22" s="71"/>
      <c r="I22" s="28">
        <v>0</v>
      </c>
      <c r="J22" s="31"/>
    </row>
    <row r="23" spans="2:10" ht="15.75" customHeight="1" x14ac:dyDescent="0.25">
      <c r="B23" s="79"/>
      <c r="C23" s="80"/>
      <c r="D23" s="80"/>
      <c r="E23" s="80"/>
      <c r="F23" s="81"/>
      <c r="G23" s="69" t="s">
        <v>65</v>
      </c>
      <c r="H23" s="71"/>
      <c r="I23" s="28">
        <v>0</v>
      </c>
      <c r="J23" s="31"/>
    </row>
    <row r="24" spans="2:10" ht="16.5" customHeight="1" x14ac:dyDescent="0.25">
      <c r="B24" s="73" t="s">
        <v>47</v>
      </c>
      <c r="C24" s="74"/>
      <c r="D24" s="74"/>
      <c r="E24" s="74"/>
      <c r="F24" s="75"/>
      <c r="G24" s="69" t="s">
        <v>67</v>
      </c>
      <c r="H24" s="71"/>
      <c r="I24" s="27">
        <v>0</v>
      </c>
      <c r="J24" s="32" t="s">
        <v>18</v>
      </c>
    </row>
    <row r="25" spans="2:10" ht="16.5" customHeight="1" x14ac:dyDescent="0.25">
      <c r="B25" s="79"/>
      <c r="C25" s="80"/>
      <c r="D25" s="80"/>
      <c r="E25" s="80"/>
      <c r="F25" s="81"/>
      <c r="G25" s="69" t="s">
        <v>68</v>
      </c>
      <c r="H25" s="71"/>
      <c r="I25" s="27">
        <v>0</v>
      </c>
      <c r="J25" s="32" t="s">
        <v>18</v>
      </c>
    </row>
    <row r="26" spans="2:10" x14ac:dyDescent="0.25">
      <c r="B26" s="33"/>
      <c r="C26" s="33"/>
      <c r="D26" s="33"/>
      <c r="E26" s="33"/>
      <c r="F26" s="33"/>
      <c r="G26" s="33"/>
      <c r="H26" s="33"/>
      <c r="I26" s="33"/>
      <c r="J26" s="33"/>
    </row>
  </sheetData>
  <mergeCells count="27">
    <mergeCell ref="G24:H24"/>
    <mergeCell ref="G25:H25"/>
    <mergeCell ref="B14:H14"/>
    <mergeCell ref="B15:H15"/>
    <mergeCell ref="B16:H16"/>
    <mergeCell ref="B17:H17"/>
    <mergeCell ref="B18:H18"/>
    <mergeCell ref="B19:H19"/>
    <mergeCell ref="B20:H20"/>
    <mergeCell ref="B21:H21"/>
    <mergeCell ref="G22:H22"/>
    <mergeCell ref="G23:H23"/>
    <mergeCell ref="B22:F23"/>
    <mergeCell ref="B24:F25"/>
    <mergeCell ref="J2:L2"/>
    <mergeCell ref="B1:L1"/>
    <mergeCell ref="B13:H13"/>
    <mergeCell ref="B2:B3"/>
    <mergeCell ref="C2:D2"/>
    <mergeCell ref="G2:H2"/>
    <mergeCell ref="E2:F2"/>
    <mergeCell ref="B8:I8"/>
    <mergeCell ref="B9:J9"/>
    <mergeCell ref="G10:H10"/>
    <mergeCell ref="G11:H11"/>
    <mergeCell ref="G12:H12"/>
    <mergeCell ref="B10:F12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1"/>
  <sheetViews>
    <sheetView workbookViewId="0">
      <selection activeCell="U21" sqref="U21"/>
    </sheetView>
  </sheetViews>
  <sheetFormatPr defaultRowHeight="16.5" x14ac:dyDescent="0.25"/>
  <cols>
    <col min="1" max="1" width="2.28515625" style="6" customWidth="1"/>
    <col min="2" max="2" width="13.140625" style="6" bestFit="1" customWidth="1"/>
    <col min="3" max="7" width="13.28515625" style="6" bestFit="1" customWidth="1"/>
    <col min="8" max="8" width="15" style="6" customWidth="1"/>
    <col min="9" max="9" width="13.5703125" style="6" bestFit="1" customWidth="1"/>
    <col min="10" max="10" width="13.28515625" style="6" bestFit="1" customWidth="1"/>
    <col min="11" max="12" width="13.28515625" style="6" customWidth="1"/>
    <col min="13" max="13" width="9.42578125" style="6" bestFit="1" customWidth="1"/>
    <col min="14" max="14" width="11.42578125" style="6" bestFit="1" customWidth="1"/>
    <col min="15" max="15" width="16.140625" style="6" bestFit="1" customWidth="1"/>
    <col min="16" max="16" width="10.5703125" style="6" bestFit="1" customWidth="1"/>
    <col min="17" max="17" width="10.85546875" style="6" bestFit="1" customWidth="1"/>
    <col min="18" max="18" width="17.7109375" style="6" bestFit="1" customWidth="1"/>
    <col min="19" max="16384" width="9.140625" style="6"/>
  </cols>
  <sheetData>
    <row r="1" spans="2:18" ht="16.5" customHeight="1" x14ac:dyDescent="0.25">
      <c r="B1" s="64" t="s">
        <v>26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2:18" x14ac:dyDescent="0.25">
      <c r="B2" s="72" t="s">
        <v>46</v>
      </c>
      <c r="C2" s="72" t="s">
        <v>0</v>
      </c>
      <c r="D2" s="72"/>
      <c r="E2" s="72" t="s">
        <v>3</v>
      </c>
      <c r="F2" s="72"/>
      <c r="G2" s="72" t="s">
        <v>4</v>
      </c>
      <c r="H2" s="72"/>
      <c r="I2" s="30" t="s">
        <v>24</v>
      </c>
      <c r="J2" s="72" t="s">
        <v>11</v>
      </c>
      <c r="K2" s="72"/>
      <c r="L2" s="72"/>
      <c r="M2" s="83" t="s">
        <v>30</v>
      </c>
      <c r="N2" s="83" t="s">
        <v>15</v>
      </c>
      <c r="O2" s="83" t="s">
        <v>27</v>
      </c>
      <c r="P2" s="83" t="s">
        <v>28</v>
      </c>
      <c r="Q2" s="83" t="s">
        <v>16</v>
      </c>
      <c r="R2" s="83" t="s">
        <v>17</v>
      </c>
    </row>
    <row r="3" spans="2:18" ht="33" x14ac:dyDescent="0.25">
      <c r="B3" s="72"/>
      <c r="C3" s="22" t="s">
        <v>1</v>
      </c>
      <c r="D3" s="22" t="s">
        <v>2</v>
      </c>
      <c r="E3" s="22" t="s">
        <v>1</v>
      </c>
      <c r="F3" s="22" t="s">
        <v>2</v>
      </c>
      <c r="G3" s="22" t="s">
        <v>1</v>
      </c>
      <c r="H3" s="22" t="s">
        <v>2</v>
      </c>
      <c r="I3" s="22" t="s">
        <v>2</v>
      </c>
      <c r="J3" s="22" t="s">
        <v>1</v>
      </c>
      <c r="K3" s="22" t="s">
        <v>2</v>
      </c>
      <c r="L3" s="21" t="s">
        <v>11</v>
      </c>
      <c r="M3" s="83"/>
      <c r="N3" s="83"/>
      <c r="O3" s="83"/>
      <c r="P3" s="83"/>
      <c r="Q3" s="83"/>
      <c r="R3" s="83"/>
    </row>
    <row r="4" spans="2:18" x14ac:dyDescent="0.25">
      <c r="B4" s="22" t="s">
        <v>5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f t="shared" ref="I4:I11" si="0">SUM(C4:H4)</f>
        <v>0</v>
      </c>
      <c r="J4" s="23">
        <f>C4+E4+G4</f>
        <v>0</v>
      </c>
      <c r="K4" s="23">
        <f>D4+F4+H4</f>
        <v>0</v>
      </c>
      <c r="L4" s="23">
        <f>J4+K4</f>
        <v>0</v>
      </c>
      <c r="M4" s="27">
        <f t="shared" ref="M4:M9" si="1">SUM(E4:J4)</f>
        <v>0</v>
      </c>
      <c r="N4" s="27">
        <f>SUM(G4:M4)</f>
        <v>0</v>
      </c>
      <c r="O4" s="45" t="e">
        <f>N4/M4</f>
        <v>#DIV/0!</v>
      </c>
      <c r="P4" s="27">
        <v>0</v>
      </c>
      <c r="Q4" s="45" t="e">
        <f>P4/M4</f>
        <v>#DIV/0!</v>
      </c>
      <c r="R4" s="46" t="e">
        <f>J4/M4</f>
        <v>#DIV/0!</v>
      </c>
    </row>
    <row r="5" spans="2:18" x14ac:dyDescent="0.25">
      <c r="B5" s="22" t="s">
        <v>6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f t="shared" si="0"/>
        <v>0</v>
      </c>
      <c r="J5" s="23">
        <f t="shared" ref="J5:J11" si="2">C5+E5+G5</f>
        <v>0</v>
      </c>
      <c r="K5" s="23">
        <f t="shared" ref="K5:K11" si="3">D5+F5+H5</f>
        <v>0</v>
      </c>
      <c r="L5" s="23">
        <f t="shared" ref="L5:L11" si="4">J5+K5</f>
        <v>0</v>
      </c>
      <c r="M5" s="27">
        <f t="shared" si="1"/>
        <v>0</v>
      </c>
      <c r="N5" s="27">
        <f t="shared" ref="N5:N9" si="5">SUM(G5:M5)</f>
        <v>0</v>
      </c>
      <c r="O5" s="45" t="e">
        <f t="shared" ref="O5:O12" si="6">N5/M5</f>
        <v>#DIV/0!</v>
      </c>
      <c r="P5" s="27">
        <v>0</v>
      </c>
      <c r="Q5" s="45" t="e">
        <f t="shared" ref="Q5:Q12" si="7">P5/M5</f>
        <v>#DIV/0!</v>
      </c>
      <c r="R5" s="46" t="e">
        <f t="shared" ref="R5:R12" si="8">J5/M5</f>
        <v>#DIV/0!</v>
      </c>
    </row>
    <row r="6" spans="2:18" x14ac:dyDescent="0.25">
      <c r="B6" s="22" t="s">
        <v>7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f t="shared" si="0"/>
        <v>0</v>
      </c>
      <c r="J6" s="23">
        <f t="shared" si="2"/>
        <v>0</v>
      </c>
      <c r="K6" s="23">
        <f t="shared" si="3"/>
        <v>0</v>
      </c>
      <c r="L6" s="23">
        <f t="shared" si="4"/>
        <v>0</v>
      </c>
      <c r="M6" s="27">
        <f t="shared" si="1"/>
        <v>0</v>
      </c>
      <c r="N6" s="27">
        <f t="shared" si="5"/>
        <v>0</v>
      </c>
      <c r="O6" s="45" t="e">
        <f t="shared" si="6"/>
        <v>#DIV/0!</v>
      </c>
      <c r="P6" s="27">
        <v>0</v>
      </c>
      <c r="Q6" s="45" t="e">
        <f t="shared" si="7"/>
        <v>#DIV/0!</v>
      </c>
      <c r="R6" s="46" t="e">
        <f t="shared" si="8"/>
        <v>#DIV/0!</v>
      </c>
    </row>
    <row r="7" spans="2:18" x14ac:dyDescent="0.25">
      <c r="B7" s="22" t="s">
        <v>8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si="0"/>
        <v>0</v>
      </c>
      <c r="J7" s="23">
        <f t="shared" si="2"/>
        <v>0</v>
      </c>
      <c r="K7" s="23">
        <f t="shared" si="3"/>
        <v>0</v>
      </c>
      <c r="L7" s="23">
        <f t="shared" si="4"/>
        <v>0</v>
      </c>
      <c r="M7" s="27">
        <f t="shared" si="1"/>
        <v>0</v>
      </c>
      <c r="N7" s="27">
        <f t="shared" si="5"/>
        <v>0</v>
      </c>
      <c r="O7" s="45" t="e">
        <f t="shared" si="6"/>
        <v>#DIV/0!</v>
      </c>
      <c r="P7" s="27">
        <v>0</v>
      </c>
      <c r="Q7" s="45" t="e">
        <f t="shared" si="7"/>
        <v>#DIV/0!</v>
      </c>
      <c r="R7" s="46" t="e">
        <f t="shared" si="8"/>
        <v>#DIV/0!</v>
      </c>
    </row>
    <row r="8" spans="2:18" x14ac:dyDescent="0.25">
      <c r="B8" s="22" t="s">
        <v>9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f t="shared" si="0"/>
        <v>0</v>
      </c>
      <c r="J8" s="23">
        <f t="shared" si="2"/>
        <v>0</v>
      </c>
      <c r="K8" s="23">
        <f t="shared" si="3"/>
        <v>0</v>
      </c>
      <c r="L8" s="23">
        <f t="shared" si="4"/>
        <v>0</v>
      </c>
      <c r="M8" s="27">
        <f t="shared" si="1"/>
        <v>0</v>
      </c>
      <c r="N8" s="27">
        <f t="shared" si="5"/>
        <v>0</v>
      </c>
      <c r="O8" s="45" t="e">
        <f t="shared" si="6"/>
        <v>#DIV/0!</v>
      </c>
      <c r="P8" s="27">
        <v>0</v>
      </c>
      <c r="Q8" s="45" t="e">
        <f t="shared" si="7"/>
        <v>#DIV/0!</v>
      </c>
      <c r="R8" s="46" t="e">
        <f t="shared" si="8"/>
        <v>#DIV/0!</v>
      </c>
    </row>
    <row r="9" spans="2:18" x14ac:dyDescent="0.25">
      <c r="B9" s="22" t="s">
        <v>10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 t="shared" si="0"/>
        <v>0</v>
      </c>
      <c r="J9" s="23">
        <f t="shared" si="2"/>
        <v>0</v>
      </c>
      <c r="K9" s="23">
        <f t="shared" si="3"/>
        <v>0</v>
      </c>
      <c r="L9" s="23">
        <f t="shared" si="4"/>
        <v>0</v>
      </c>
      <c r="M9" s="27">
        <f t="shared" si="1"/>
        <v>0</v>
      </c>
      <c r="N9" s="27">
        <f t="shared" si="5"/>
        <v>0</v>
      </c>
      <c r="O9" s="45" t="e">
        <f t="shared" si="6"/>
        <v>#DIV/0!</v>
      </c>
      <c r="P9" s="27">
        <v>0</v>
      </c>
      <c r="Q9" s="45" t="e">
        <f t="shared" si="7"/>
        <v>#DIV/0!</v>
      </c>
      <c r="R9" s="46" t="e">
        <f t="shared" si="8"/>
        <v>#DIV/0!</v>
      </c>
    </row>
    <row r="10" spans="2:18" x14ac:dyDescent="0.25">
      <c r="B10" s="22" t="s">
        <v>79</v>
      </c>
      <c r="C10" s="27"/>
      <c r="D10" s="27"/>
      <c r="E10" s="27"/>
      <c r="F10" s="27"/>
      <c r="G10" s="27"/>
      <c r="H10" s="27"/>
      <c r="I10" s="27"/>
      <c r="J10" s="23"/>
      <c r="K10" s="23"/>
      <c r="L10" s="23"/>
      <c r="M10" s="27"/>
      <c r="N10" s="27"/>
      <c r="O10" s="45"/>
      <c r="P10" s="27"/>
      <c r="Q10" s="45"/>
      <c r="R10" s="46"/>
    </row>
    <row r="11" spans="2:18" ht="33" x14ac:dyDescent="0.25">
      <c r="B11" s="22" t="s">
        <v>23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f t="shared" si="0"/>
        <v>0</v>
      </c>
      <c r="J11" s="23">
        <f t="shared" si="2"/>
        <v>0</v>
      </c>
      <c r="K11" s="23">
        <f t="shared" si="3"/>
        <v>0</v>
      </c>
      <c r="L11" s="23">
        <f t="shared" si="4"/>
        <v>0</v>
      </c>
      <c r="M11" s="84"/>
      <c r="N11" s="84"/>
      <c r="O11" s="84"/>
      <c r="P11" s="84"/>
      <c r="Q11" s="84"/>
      <c r="R11" s="84"/>
    </row>
    <row r="12" spans="2:18" x14ac:dyDescent="0.25">
      <c r="B12" s="22" t="s">
        <v>11</v>
      </c>
      <c r="C12" s="23">
        <f t="shared" ref="C12:J12" si="9">SUM(C4:C9)</f>
        <v>0</v>
      </c>
      <c r="D12" s="23">
        <f t="shared" si="9"/>
        <v>0</v>
      </c>
      <c r="E12" s="23">
        <f t="shared" si="9"/>
        <v>0</v>
      </c>
      <c r="F12" s="23">
        <f t="shared" si="9"/>
        <v>0</v>
      </c>
      <c r="G12" s="23">
        <f t="shared" si="9"/>
        <v>0</v>
      </c>
      <c r="H12" s="23">
        <f t="shared" si="9"/>
        <v>0</v>
      </c>
      <c r="I12" s="23">
        <f t="shared" si="9"/>
        <v>0</v>
      </c>
      <c r="J12" s="23">
        <f t="shared" si="9"/>
        <v>0</v>
      </c>
      <c r="K12" s="23">
        <f>SUM(K4:K11)</f>
        <v>0</v>
      </c>
      <c r="L12" s="23">
        <f>SUM(L4:L11)</f>
        <v>0</v>
      </c>
      <c r="M12" s="23">
        <f>SUM(M4:M9)</f>
        <v>0</v>
      </c>
      <c r="N12" s="23">
        <f>SUM(N4:N9)</f>
        <v>0</v>
      </c>
      <c r="O12" s="45" t="e">
        <f t="shared" si="6"/>
        <v>#DIV/0!</v>
      </c>
      <c r="P12" s="23">
        <f>SUM(P4:P9)</f>
        <v>0</v>
      </c>
      <c r="Q12" s="45" t="e">
        <f t="shared" si="7"/>
        <v>#DIV/0!</v>
      </c>
      <c r="R12" s="46" t="e">
        <f t="shared" si="8"/>
        <v>#DIV/0!</v>
      </c>
    </row>
    <row r="13" spans="2:18" x14ac:dyDescent="0.25">
      <c r="B13" s="5"/>
      <c r="C13" s="3"/>
      <c r="D13" s="3"/>
      <c r="E13" s="3"/>
      <c r="F13" s="3"/>
      <c r="G13" s="3"/>
      <c r="H13" s="3"/>
      <c r="I13" s="3"/>
      <c r="J13" s="3"/>
      <c r="K13" s="86" t="s">
        <v>70</v>
      </c>
      <c r="L13" s="44" t="s">
        <v>47</v>
      </c>
      <c r="M13" s="26">
        <v>0</v>
      </c>
      <c r="N13" s="3"/>
      <c r="O13" s="7"/>
      <c r="P13" s="3"/>
      <c r="Q13" s="7"/>
    </row>
    <row r="14" spans="2:18" x14ac:dyDescent="0.25">
      <c r="B14" s="5"/>
      <c r="C14" s="3"/>
      <c r="D14" s="3"/>
      <c r="E14" s="3"/>
      <c r="F14" s="3"/>
      <c r="G14" s="3"/>
      <c r="H14" s="3"/>
      <c r="I14" s="3"/>
      <c r="J14" s="3"/>
      <c r="K14" s="83"/>
      <c r="L14" s="43" t="s">
        <v>69</v>
      </c>
      <c r="M14" s="27">
        <v>0</v>
      </c>
      <c r="N14" s="3"/>
      <c r="O14" s="7"/>
      <c r="P14" s="3"/>
      <c r="Q14" s="7"/>
    </row>
    <row r="15" spans="2:18" x14ac:dyDescent="0.25">
      <c r="B15" s="5"/>
      <c r="C15" s="3"/>
      <c r="D15" s="3"/>
      <c r="E15" s="3"/>
      <c r="F15" s="3"/>
      <c r="G15" s="3"/>
      <c r="H15" s="3"/>
      <c r="I15" s="3"/>
      <c r="J15" s="3"/>
      <c r="K15" s="83"/>
      <c r="L15" s="43" t="s">
        <v>38</v>
      </c>
      <c r="M15" s="27">
        <v>0</v>
      </c>
      <c r="N15" s="3"/>
      <c r="O15" s="7"/>
      <c r="P15" s="3"/>
      <c r="Q15" s="7"/>
    </row>
    <row r="16" spans="2:18" x14ac:dyDescent="0.25">
      <c r="B16" s="5"/>
      <c r="C16" s="3"/>
      <c r="D16" s="3"/>
      <c r="E16" s="3"/>
      <c r="F16" s="3"/>
      <c r="G16" s="3"/>
      <c r="H16" s="3"/>
      <c r="I16" s="3"/>
      <c r="J16" s="3"/>
      <c r="K16" s="87" t="s">
        <v>11</v>
      </c>
      <c r="L16" s="87"/>
      <c r="M16" s="23">
        <f>SUM(M12:M15)</f>
        <v>0</v>
      </c>
      <c r="N16" s="3"/>
      <c r="O16" s="7"/>
      <c r="P16" s="3"/>
      <c r="Q16" s="7"/>
    </row>
    <row r="17" spans="2:12" ht="16.5" customHeight="1" x14ac:dyDescent="0.25">
      <c r="B17" s="85" t="s">
        <v>25</v>
      </c>
      <c r="C17" s="85"/>
      <c r="D17" s="85"/>
      <c r="E17" s="85"/>
      <c r="F17" s="85"/>
      <c r="G17" s="85"/>
      <c r="H17" s="85"/>
      <c r="I17" s="85"/>
      <c r="J17" s="85"/>
      <c r="K17" s="19"/>
      <c r="L17" s="19"/>
    </row>
    <row r="18" spans="2:12" ht="16.5" customHeight="1" x14ac:dyDescent="0.25">
      <c r="B18" s="73" t="s">
        <v>12</v>
      </c>
      <c r="C18" s="74"/>
      <c r="D18" s="74"/>
      <c r="E18" s="74"/>
      <c r="F18" s="75"/>
      <c r="G18" s="69" t="s">
        <v>56</v>
      </c>
      <c r="H18" s="71"/>
      <c r="I18" s="27">
        <v>0</v>
      </c>
      <c r="J18" s="32" t="s">
        <v>18</v>
      </c>
      <c r="K18" s="12"/>
      <c r="L18" s="12"/>
    </row>
    <row r="19" spans="2:12" ht="16.5" customHeight="1" x14ac:dyDescent="0.25">
      <c r="B19" s="76"/>
      <c r="C19" s="77"/>
      <c r="D19" s="77"/>
      <c r="E19" s="77"/>
      <c r="F19" s="78"/>
      <c r="G19" s="69" t="s">
        <v>57</v>
      </c>
      <c r="H19" s="71"/>
      <c r="I19" s="27">
        <v>0</v>
      </c>
      <c r="J19" s="32" t="s">
        <v>18</v>
      </c>
      <c r="K19" s="12"/>
      <c r="L19" s="12"/>
    </row>
    <row r="20" spans="2:12" ht="16.5" customHeight="1" x14ac:dyDescent="0.25">
      <c r="B20" s="79"/>
      <c r="C20" s="80"/>
      <c r="D20" s="80"/>
      <c r="E20" s="80"/>
      <c r="F20" s="81"/>
      <c r="G20" s="69" t="s">
        <v>58</v>
      </c>
      <c r="H20" s="71"/>
      <c r="I20" s="23">
        <f>I18-I19</f>
        <v>0</v>
      </c>
      <c r="J20" s="32" t="s">
        <v>18</v>
      </c>
      <c r="K20" s="12"/>
      <c r="L20" s="12"/>
    </row>
    <row r="21" spans="2:12" ht="16.5" customHeight="1" x14ac:dyDescent="0.25">
      <c r="B21" s="63" t="s">
        <v>59</v>
      </c>
      <c r="C21" s="63"/>
      <c r="D21" s="63"/>
      <c r="E21" s="63"/>
      <c r="F21" s="63"/>
      <c r="G21" s="63"/>
      <c r="H21" s="63"/>
      <c r="I21" s="27">
        <v>0</v>
      </c>
      <c r="J21" s="32" t="s">
        <v>18</v>
      </c>
      <c r="K21" s="12"/>
      <c r="L21" s="12"/>
    </row>
    <row r="22" spans="2:12" ht="16.5" customHeight="1" x14ac:dyDescent="0.25">
      <c r="B22" s="63" t="s">
        <v>60</v>
      </c>
      <c r="C22" s="63"/>
      <c r="D22" s="63"/>
      <c r="E22" s="63"/>
      <c r="F22" s="63"/>
      <c r="G22" s="63"/>
      <c r="H22" s="63"/>
      <c r="I22" s="25" t="e">
        <f>I21/I20</f>
        <v>#DIV/0!</v>
      </c>
      <c r="J22" s="32" t="s">
        <v>19</v>
      </c>
      <c r="K22" s="12"/>
      <c r="L22" s="12"/>
    </row>
    <row r="23" spans="2:12" ht="16.5" customHeight="1" x14ac:dyDescent="0.25">
      <c r="B23" s="63" t="s">
        <v>28</v>
      </c>
      <c r="C23" s="63"/>
      <c r="D23" s="63"/>
      <c r="E23" s="63"/>
      <c r="F23" s="63"/>
      <c r="G23" s="63"/>
      <c r="H23" s="63"/>
      <c r="I23" s="27">
        <v>0</v>
      </c>
      <c r="J23" s="32" t="s">
        <v>18</v>
      </c>
      <c r="K23" s="12"/>
      <c r="L23" s="12"/>
    </row>
    <row r="24" spans="2:12" ht="16.5" customHeight="1" x14ac:dyDescent="0.25">
      <c r="B24" s="63" t="s">
        <v>61</v>
      </c>
      <c r="C24" s="63"/>
      <c r="D24" s="63"/>
      <c r="E24" s="63"/>
      <c r="F24" s="63"/>
      <c r="G24" s="63"/>
      <c r="H24" s="63"/>
      <c r="I24" s="25" t="e">
        <f>I23/I20</f>
        <v>#DIV/0!</v>
      </c>
      <c r="J24" s="32" t="s">
        <v>19</v>
      </c>
      <c r="K24" s="12"/>
      <c r="L24" s="12"/>
    </row>
    <row r="25" spans="2:12" ht="16.5" customHeight="1" x14ac:dyDescent="0.25">
      <c r="B25" s="63" t="s">
        <v>66</v>
      </c>
      <c r="C25" s="63"/>
      <c r="D25" s="63"/>
      <c r="E25" s="63"/>
      <c r="F25" s="63"/>
      <c r="G25" s="63"/>
      <c r="H25" s="63"/>
      <c r="I25" s="23" t="e">
        <f>N16/I20</f>
        <v>#DIV/0!</v>
      </c>
      <c r="J25" s="31"/>
      <c r="K25" s="12"/>
      <c r="L25" s="12"/>
    </row>
    <row r="26" spans="2:12" ht="16.5" customHeight="1" x14ac:dyDescent="0.25">
      <c r="B26" s="63" t="s">
        <v>29</v>
      </c>
      <c r="C26" s="63"/>
      <c r="D26" s="63"/>
      <c r="E26" s="63"/>
      <c r="F26" s="63"/>
      <c r="G26" s="63"/>
      <c r="H26" s="63"/>
      <c r="I26" s="28">
        <v>0</v>
      </c>
      <c r="J26" s="31"/>
      <c r="K26" s="12"/>
      <c r="L26" s="12"/>
    </row>
    <row r="27" spans="2:12" ht="16.5" customHeight="1" x14ac:dyDescent="0.25">
      <c r="B27" s="63" t="s">
        <v>20</v>
      </c>
      <c r="C27" s="63"/>
      <c r="D27" s="63"/>
      <c r="E27" s="63"/>
      <c r="F27" s="63"/>
      <c r="G27" s="63"/>
      <c r="H27" s="63"/>
      <c r="I27" s="28">
        <v>0</v>
      </c>
      <c r="J27" s="31"/>
      <c r="K27" s="12"/>
      <c r="L27" s="12"/>
    </row>
    <row r="28" spans="2:12" ht="16.5" customHeight="1" x14ac:dyDescent="0.25">
      <c r="B28" s="63" t="s">
        <v>31</v>
      </c>
      <c r="C28" s="63"/>
      <c r="D28" s="63"/>
      <c r="E28" s="63"/>
      <c r="F28" s="63"/>
      <c r="G28" s="63"/>
      <c r="H28" s="63"/>
      <c r="I28" s="28">
        <v>0</v>
      </c>
      <c r="J28" s="31"/>
    </row>
    <row r="29" spans="2:12" ht="16.5" customHeight="1" x14ac:dyDescent="0.25">
      <c r="B29" s="63" t="s">
        <v>32</v>
      </c>
      <c r="C29" s="63"/>
      <c r="D29" s="63"/>
      <c r="E29" s="63"/>
      <c r="F29" s="63"/>
      <c r="G29" s="63"/>
      <c r="H29" s="63"/>
      <c r="I29" s="27">
        <v>0</v>
      </c>
      <c r="J29" s="32" t="s">
        <v>18</v>
      </c>
      <c r="K29" s="12"/>
      <c r="L29" s="12"/>
    </row>
    <row r="30" spans="2:12" ht="16.5" customHeight="1" x14ac:dyDescent="0.25">
      <c r="B30" s="73" t="s">
        <v>63</v>
      </c>
      <c r="C30" s="74"/>
      <c r="D30" s="74"/>
      <c r="E30" s="74"/>
      <c r="F30" s="75"/>
      <c r="G30" s="69" t="s">
        <v>64</v>
      </c>
      <c r="H30" s="71"/>
      <c r="I30" s="28">
        <v>0</v>
      </c>
      <c r="J30" s="31"/>
      <c r="K30" s="12"/>
      <c r="L30" s="12"/>
    </row>
    <row r="31" spans="2:12" ht="16.5" customHeight="1" x14ac:dyDescent="0.25">
      <c r="B31" s="79"/>
      <c r="C31" s="80"/>
      <c r="D31" s="80"/>
      <c r="E31" s="80"/>
      <c r="F31" s="81"/>
      <c r="G31" s="69" t="s">
        <v>65</v>
      </c>
      <c r="H31" s="71"/>
      <c r="I31" s="28">
        <v>0</v>
      </c>
      <c r="J31" s="31"/>
      <c r="K31" s="12"/>
      <c r="L31" s="12"/>
    </row>
    <row r="32" spans="2:12" ht="16.5" customHeight="1" x14ac:dyDescent="0.25">
      <c r="B32" s="73" t="s">
        <v>47</v>
      </c>
      <c r="C32" s="74"/>
      <c r="D32" s="74"/>
      <c r="E32" s="74"/>
      <c r="F32" s="75"/>
      <c r="G32" s="69" t="s">
        <v>67</v>
      </c>
      <c r="H32" s="71"/>
      <c r="I32" s="27">
        <v>0</v>
      </c>
      <c r="J32" s="32" t="s">
        <v>18</v>
      </c>
      <c r="K32" s="12"/>
      <c r="L32" s="12"/>
    </row>
    <row r="33" spans="2:12" ht="16.5" customHeight="1" x14ac:dyDescent="0.25">
      <c r="B33" s="79"/>
      <c r="C33" s="80"/>
      <c r="D33" s="80"/>
      <c r="E33" s="80"/>
      <c r="F33" s="81"/>
      <c r="G33" s="69" t="s">
        <v>68</v>
      </c>
      <c r="H33" s="71"/>
      <c r="I33" s="27">
        <v>0</v>
      </c>
      <c r="J33" s="32" t="s">
        <v>18</v>
      </c>
      <c r="K33" s="12"/>
      <c r="L33" s="12"/>
    </row>
    <row r="34" spans="2:12" ht="16.5" customHeight="1" x14ac:dyDescent="0.25">
      <c r="B34" s="15"/>
      <c r="C34" s="15"/>
      <c r="D34" s="15"/>
      <c r="E34" s="15"/>
      <c r="F34" s="15"/>
      <c r="G34" s="15"/>
      <c r="H34" s="13"/>
      <c r="I34" s="11"/>
      <c r="J34" s="12"/>
      <c r="K34" s="12"/>
      <c r="L34" s="12"/>
    </row>
    <row r="35" spans="2:12" ht="33" customHeight="1" x14ac:dyDescent="0.25">
      <c r="B35" s="85" t="s">
        <v>71</v>
      </c>
      <c r="C35" s="88"/>
      <c r="D35" s="88"/>
      <c r="E35" s="88"/>
      <c r="F35" s="88"/>
      <c r="G35" s="14"/>
      <c r="H35" s="14"/>
      <c r="I35" s="14"/>
      <c r="J35" s="14"/>
      <c r="K35" s="12"/>
      <c r="L35" s="12"/>
    </row>
    <row r="36" spans="2:12" ht="16.5" customHeight="1" x14ac:dyDescent="0.25">
      <c r="B36" s="82" t="s">
        <v>72</v>
      </c>
      <c r="C36" s="82"/>
      <c r="D36" s="82"/>
      <c r="E36" s="82"/>
      <c r="F36" s="41">
        <v>0</v>
      </c>
      <c r="G36" s="15"/>
      <c r="H36" s="13"/>
      <c r="I36" s="11"/>
      <c r="J36" s="12"/>
      <c r="K36" s="12"/>
      <c r="L36" s="12"/>
    </row>
    <row r="37" spans="2:12" ht="16.5" customHeight="1" x14ac:dyDescent="0.25">
      <c r="B37" s="82" t="s">
        <v>73</v>
      </c>
      <c r="C37" s="82"/>
      <c r="D37" s="82"/>
      <c r="E37" s="82"/>
      <c r="F37" s="42">
        <v>0</v>
      </c>
      <c r="G37" s="15"/>
      <c r="H37" s="13"/>
      <c r="I37" s="11"/>
      <c r="J37" s="12"/>
      <c r="K37" s="12"/>
      <c r="L37" s="12"/>
    </row>
    <row r="38" spans="2:12" ht="16.5" customHeight="1" x14ac:dyDescent="0.25">
      <c r="B38" s="31" t="s">
        <v>43</v>
      </c>
      <c r="C38" s="31" t="e">
        <f>(F36*(I20/(I20-(M13+M14+M15))))</f>
        <v>#DIV/0!</v>
      </c>
      <c r="D38" s="15" t="s">
        <v>74</v>
      </c>
      <c r="E38" s="15"/>
      <c r="F38" s="15"/>
      <c r="G38" s="15"/>
      <c r="H38" s="15"/>
      <c r="I38" s="11"/>
      <c r="J38" s="12"/>
      <c r="K38" s="12"/>
      <c r="L38" s="12"/>
    </row>
    <row r="39" spans="2:12" ht="16.5" customHeight="1" x14ac:dyDescent="0.25">
      <c r="B39" s="31" t="s">
        <v>44</v>
      </c>
      <c r="C39" s="31" t="e">
        <f>F37*(I20/(I20-(M13+M14+M15)))</f>
        <v>#DIV/0!</v>
      </c>
      <c r="D39" s="15"/>
      <c r="E39" s="15"/>
      <c r="F39" s="15"/>
      <c r="G39" s="15"/>
      <c r="H39" s="15"/>
      <c r="I39" s="11"/>
      <c r="J39" s="12"/>
      <c r="K39" s="12"/>
      <c r="L39" s="12"/>
    </row>
    <row r="40" spans="2:12" x14ac:dyDescent="0.25">
      <c r="B40" s="15"/>
      <c r="C40" s="15"/>
      <c r="D40" s="15"/>
      <c r="E40" s="15"/>
      <c r="F40" s="15"/>
      <c r="G40" s="15"/>
      <c r="H40" s="13"/>
      <c r="I40" s="9"/>
      <c r="J40" s="12"/>
      <c r="K40" s="12"/>
      <c r="L40" s="12"/>
    </row>
    <row r="41" spans="2:12" x14ac:dyDescent="0.25">
      <c r="B41" s="15"/>
      <c r="C41" s="15"/>
      <c r="D41" s="15"/>
      <c r="E41" s="15"/>
      <c r="F41" s="15"/>
      <c r="G41" s="15"/>
      <c r="H41" s="13"/>
      <c r="I41" s="9"/>
      <c r="J41" s="12"/>
      <c r="K41" s="12"/>
      <c r="L41" s="12"/>
    </row>
  </sheetData>
  <mergeCells count="38">
    <mergeCell ref="B25:H25"/>
    <mergeCell ref="G32:H32"/>
    <mergeCell ref="G33:H33"/>
    <mergeCell ref="B36:E36"/>
    <mergeCell ref="B35:F35"/>
    <mergeCell ref="B27:H27"/>
    <mergeCell ref="B28:H28"/>
    <mergeCell ref="B29:H29"/>
    <mergeCell ref="B30:F31"/>
    <mergeCell ref="G30:H30"/>
    <mergeCell ref="G31:H31"/>
    <mergeCell ref="J2:L2"/>
    <mergeCell ref="K13:K15"/>
    <mergeCell ref="K16:L16"/>
    <mergeCell ref="B21:H21"/>
    <mergeCell ref="B24:H24"/>
    <mergeCell ref="B18:F20"/>
    <mergeCell ref="G18:H18"/>
    <mergeCell ref="G19:H19"/>
    <mergeCell ref="G20:H20"/>
    <mergeCell ref="B22:H22"/>
    <mergeCell ref="B23:H23"/>
    <mergeCell ref="B37:E37"/>
    <mergeCell ref="B1:R1"/>
    <mergeCell ref="N2:N3"/>
    <mergeCell ref="O2:O3"/>
    <mergeCell ref="Q2:Q3"/>
    <mergeCell ref="R2:R3"/>
    <mergeCell ref="P2:P3"/>
    <mergeCell ref="M2:M3"/>
    <mergeCell ref="B32:F33"/>
    <mergeCell ref="M11:R11"/>
    <mergeCell ref="B26:H26"/>
    <mergeCell ref="G2:H2"/>
    <mergeCell ref="B17:J17"/>
    <mergeCell ref="B2:B3"/>
    <mergeCell ref="C2:D2"/>
    <mergeCell ref="E2:F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0"/>
  <sheetViews>
    <sheetView workbookViewId="0">
      <selection activeCell="B1" sqref="B1:S1"/>
    </sheetView>
  </sheetViews>
  <sheetFormatPr defaultRowHeight="15.75" x14ac:dyDescent="0.25"/>
  <cols>
    <col min="1" max="1" width="3.28515625" style="1" customWidth="1"/>
    <col min="2" max="2" width="6.7109375" style="1" bestFit="1" customWidth="1"/>
    <col min="3" max="6" width="14.42578125" style="1" customWidth="1"/>
    <col min="7" max="9" width="13.85546875" style="1" customWidth="1"/>
    <col min="10" max="10" width="13.28515625" style="1" customWidth="1"/>
    <col min="11" max="18" width="13.28515625" style="1" bestFit="1" customWidth="1"/>
    <col min="19" max="19" width="13.28515625" style="1" customWidth="1"/>
    <col min="20" max="20" width="13" style="1" customWidth="1"/>
    <col min="21" max="21" width="13.28515625" style="1" customWidth="1"/>
    <col min="22" max="16384" width="9.140625" style="1"/>
  </cols>
  <sheetData>
    <row r="1" spans="2:20" ht="121.5" customHeight="1" x14ac:dyDescent="0.25">
      <c r="B1" s="95" t="s">
        <v>85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57"/>
    </row>
    <row r="2" spans="2:20" ht="15.75" customHeight="1" x14ac:dyDescent="0.25">
      <c r="B2" s="94" t="s">
        <v>80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2:20" ht="15.75" customHeight="1" x14ac:dyDescent="0.25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</row>
    <row r="4" spans="2:20" ht="30" x14ac:dyDescent="0.2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2:20" ht="15.75" customHeight="1" x14ac:dyDescent="0.25">
      <c r="B5" s="66" t="s">
        <v>26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8"/>
    </row>
    <row r="6" spans="2:20" ht="32.25" customHeight="1" x14ac:dyDescent="0.25">
      <c r="B6" s="96"/>
      <c r="C6" s="90" t="s">
        <v>83</v>
      </c>
      <c r="D6" s="91"/>
      <c r="E6" s="90" t="s">
        <v>81</v>
      </c>
      <c r="F6" s="91"/>
      <c r="G6" s="90" t="s">
        <v>82</v>
      </c>
      <c r="H6" s="91"/>
      <c r="I6" s="89" t="s">
        <v>0</v>
      </c>
      <c r="J6" s="89"/>
      <c r="K6" s="89" t="s">
        <v>3</v>
      </c>
      <c r="L6" s="89"/>
      <c r="M6" s="89" t="s">
        <v>4</v>
      </c>
      <c r="N6" s="89"/>
      <c r="O6" s="56" t="s">
        <v>24</v>
      </c>
      <c r="P6" s="89" t="s">
        <v>11</v>
      </c>
      <c r="Q6" s="89"/>
      <c r="R6" s="89"/>
      <c r="S6" s="92" t="s">
        <v>84</v>
      </c>
    </row>
    <row r="7" spans="2:20" s="2" customFormat="1" ht="49.5" customHeight="1" x14ac:dyDescent="0.25">
      <c r="B7" s="97"/>
      <c r="C7" s="49" t="s">
        <v>1</v>
      </c>
      <c r="D7" s="50" t="s">
        <v>2</v>
      </c>
      <c r="E7" s="49" t="s">
        <v>1</v>
      </c>
      <c r="F7" s="50" t="s">
        <v>2</v>
      </c>
      <c r="G7" s="49" t="s">
        <v>1</v>
      </c>
      <c r="H7" s="50" t="s">
        <v>2</v>
      </c>
      <c r="I7" s="22" t="s">
        <v>1</v>
      </c>
      <c r="J7" s="22" t="s">
        <v>2</v>
      </c>
      <c r="K7" s="22" t="s">
        <v>1</v>
      </c>
      <c r="L7" s="22" t="s">
        <v>2</v>
      </c>
      <c r="M7" s="22" t="s">
        <v>1</v>
      </c>
      <c r="N7" s="22" t="s">
        <v>2</v>
      </c>
      <c r="O7" s="22" t="s">
        <v>2</v>
      </c>
      <c r="P7" s="22" t="s">
        <v>1</v>
      </c>
      <c r="Q7" s="22" t="s">
        <v>2</v>
      </c>
      <c r="R7" s="31" t="s">
        <v>11</v>
      </c>
      <c r="S7" s="93"/>
    </row>
    <row r="8" spans="2:20" ht="16.5" x14ac:dyDescent="0.25">
      <c r="B8" s="48" t="s">
        <v>5</v>
      </c>
      <c r="C8" s="51">
        <v>0</v>
      </c>
      <c r="D8" s="52">
        <v>0</v>
      </c>
      <c r="E8" s="51">
        <v>0</v>
      </c>
      <c r="F8" s="52">
        <v>0</v>
      </c>
      <c r="G8" s="51">
        <v>0</v>
      </c>
      <c r="H8" s="52">
        <v>0</v>
      </c>
      <c r="I8" s="27">
        <f t="shared" ref="I8:I10" si="0">SUM(C8:H8)</f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f t="shared" ref="O8:O10" si="1">SUM(I8:N8)</f>
        <v>0</v>
      </c>
      <c r="P8" s="23">
        <v>0</v>
      </c>
      <c r="Q8" s="23">
        <v>0</v>
      </c>
      <c r="R8" s="23">
        <v>0</v>
      </c>
      <c r="S8" s="47">
        <v>0</v>
      </c>
    </row>
    <row r="9" spans="2:20" ht="16.5" x14ac:dyDescent="0.25">
      <c r="B9" s="48" t="s">
        <v>6</v>
      </c>
      <c r="C9" s="51">
        <v>0</v>
      </c>
      <c r="D9" s="52">
        <v>0</v>
      </c>
      <c r="E9" s="51">
        <v>0</v>
      </c>
      <c r="F9" s="52">
        <v>0</v>
      </c>
      <c r="G9" s="51">
        <v>0</v>
      </c>
      <c r="H9" s="52">
        <v>0</v>
      </c>
      <c r="I9" s="27">
        <f t="shared" si="0"/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f t="shared" si="1"/>
        <v>0</v>
      </c>
      <c r="P9" s="23">
        <v>0</v>
      </c>
      <c r="Q9" s="23">
        <v>0</v>
      </c>
      <c r="R9" s="23">
        <v>0</v>
      </c>
      <c r="S9" s="47">
        <v>0</v>
      </c>
    </row>
    <row r="10" spans="2:20" ht="16.5" x14ac:dyDescent="0.25">
      <c r="B10" s="48" t="s">
        <v>7</v>
      </c>
      <c r="C10" s="51">
        <v>0</v>
      </c>
      <c r="D10" s="52">
        <v>0</v>
      </c>
      <c r="E10" s="51">
        <v>0</v>
      </c>
      <c r="F10" s="52">
        <v>0</v>
      </c>
      <c r="G10" s="51">
        <v>0</v>
      </c>
      <c r="H10" s="52">
        <v>0</v>
      </c>
      <c r="I10" s="27">
        <f t="shared" si="0"/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f t="shared" si="1"/>
        <v>0</v>
      </c>
      <c r="P10" s="23">
        <v>0</v>
      </c>
      <c r="Q10" s="23">
        <v>0</v>
      </c>
      <c r="R10" s="23">
        <v>0</v>
      </c>
      <c r="S10" s="47">
        <v>0</v>
      </c>
    </row>
    <row r="11" spans="2:20" ht="33.75" thickBot="1" x14ac:dyDescent="0.3">
      <c r="B11" s="48" t="s">
        <v>11</v>
      </c>
      <c r="C11" s="53">
        <v>0</v>
      </c>
      <c r="D11" s="54">
        <v>0</v>
      </c>
      <c r="E11" s="53">
        <v>0</v>
      </c>
      <c r="F11" s="54">
        <v>0</v>
      </c>
      <c r="G11" s="53">
        <v>0</v>
      </c>
      <c r="H11" s="54">
        <v>0</v>
      </c>
      <c r="I11" s="23">
        <f t="shared" ref="I11:O11" si="2">SUM(I8:I10)</f>
        <v>0</v>
      </c>
      <c r="J11" s="23">
        <f t="shared" si="2"/>
        <v>0</v>
      </c>
      <c r="K11" s="23">
        <f t="shared" si="2"/>
        <v>0</v>
      </c>
      <c r="L11" s="23">
        <f t="shared" si="2"/>
        <v>0</v>
      </c>
      <c r="M11" s="23">
        <f t="shared" si="2"/>
        <v>0</v>
      </c>
      <c r="N11" s="23">
        <f t="shared" si="2"/>
        <v>0</v>
      </c>
      <c r="O11" s="23">
        <f t="shared" si="2"/>
        <v>0</v>
      </c>
      <c r="P11" s="23">
        <v>0</v>
      </c>
      <c r="Q11" s="23">
        <v>0</v>
      </c>
      <c r="R11" s="23">
        <v>0</v>
      </c>
      <c r="S11" s="47">
        <v>0</v>
      </c>
    </row>
    <row r="12" spans="2:20" ht="9.75" customHeight="1" thickTop="1" x14ac:dyDescent="0.25"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2:20" ht="15.75" customHeight="1" x14ac:dyDescent="0.25">
      <c r="B13" s="64" t="s">
        <v>25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2:20" ht="16.5" customHeight="1" x14ac:dyDescent="0.25">
      <c r="B14" s="73" t="s">
        <v>12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  <c r="M14" s="69" t="s">
        <v>56</v>
      </c>
      <c r="N14" s="71"/>
      <c r="O14" s="27">
        <v>0</v>
      </c>
      <c r="P14" s="32" t="s">
        <v>18</v>
      </c>
    </row>
    <row r="15" spans="2:20" ht="16.5" customHeight="1" x14ac:dyDescent="0.25"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8"/>
      <c r="M15" s="69" t="s">
        <v>57</v>
      </c>
      <c r="N15" s="71"/>
      <c r="O15" s="27">
        <v>0</v>
      </c>
      <c r="P15" s="32" t="s">
        <v>18</v>
      </c>
    </row>
    <row r="16" spans="2:20" ht="16.5" customHeight="1" x14ac:dyDescent="0.25"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1"/>
      <c r="M16" s="69" t="s">
        <v>58</v>
      </c>
      <c r="N16" s="71"/>
      <c r="O16" s="23">
        <f>O14-O15</f>
        <v>0</v>
      </c>
      <c r="P16" s="32" t="s">
        <v>18</v>
      </c>
    </row>
    <row r="17" spans="2:16" ht="16.5" customHeight="1" x14ac:dyDescent="0.25">
      <c r="B17" s="63" t="s">
        <v>59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27">
        <v>0</v>
      </c>
      <c r="P17" s="32" t="s">
        <v>18</v>
      </c>
    </row>
    <row r="18" spans="2:16" ht="16.5" customHeight="1" x14ac:dyDescent="0.25">
      <c r="B18" s="63" t="s">
        <v>60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25" t="e">
        <f>O17/O16</f>
        <v>#DIV/0!</v>
      </c>
      <c r="P18" s="32" t="s">
        <v>19</v>
      </c>
    </row>
    <row r="19" spans="2:16" ht="16.5" customHeight="1" x14ac:dyDescent="0.25">
      <c r="B19" s="63" t="s">
        <v>28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27">
        <v>0</v>
      </c>
      <c r="P19" s="32" t="s">
        <v>18</v>
      </c>
    </row>
    <row r="20" spans="2:16" ht="16.5" customHeight="1" x14ac:dyDescent="0.25">
      <c r="B20" s="63" t="s">
        <v>61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25" t="e">
        <f>O19/O16</f>
        <v>#DIV/0!</v>
      </c>
      <c r="P20" s="32" t="s">
        <v>19</v>
      </c>
    </row>
    <row r="21" spans="2:16" ht="15.75" customHeight="1" x14ac:dyDescent="0.25">
      <c r="B21" s="63" t="s">
        <v>66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23" t="e">
        <f>P11/O16</f>
        <v>#DIV/0!</v>
      </c>
      <c r="P21" s="31"/>
    </row>
    <row r="22" spans="2:16" ht="15.75" customHeight="1" x14ac:dyDescent="0.25">
      <c r="B22" s="63" t="s">
        <v>29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28">
        <v>0</v>
      </c>
      <c r="P22" s="31"/>
    </row>
    <row r="23" spans="2:16" ht="15.75" customHeight="1" x14ac:dyDescent="0.25">
      <c r="B23" s="63" t="s">
        <v>20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28">
        <v>0</v>
      </c>
      <c r="P23" s="31"/>
    </row>
    <row r="24" spans="2:16" ht="15.75" customHeight="1" x14ac:dyDescent="0.25">
      <c r="B24" s="63" t="s">
        <v>31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28">
        <v>0</v>
      </c>
      <c r="P24" s="31"/>
    </row>
    <row r="25" spans="2:16" ht="15.75" customHeight="1" x14ac:dyDescent="0.25">
      <c r="B25" s="63" t="s">
        <v>32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27">
        <v>0</v>
      </c>
      <c r="P25" s="32" t="s">
        <v>18</v>
      </c>
    </row>
    <row r="26" spans="2:16" ht="15.75" customHeight="1" x14ac:dyDescent="0.25">
      <c r="B26" s="73" t="s">
        <v>63</v>
      </c>
      <c r="C26" s="74"/>
      <c r="D26" s="74"/>
      <c r="E26" s="74"/>
      <c r="F26" s="74"/>
      <c r="G26" s="74"/>
      <c r="H26" s="74"/>
      <c r="I26" s="74"/>
      <c r="J26" s="74"/>
      <c r="K26" s="74"/>
      <c r="L26" s="75"/>
      <c r="M26" s="69" t="s">
        <v>64</v>
      </c>
      <c r="N26" s="71"/>
      <c r="O26" s="28">
        <v>0</v>
      </c>
      <c r="P26" s="31"/>
    </row>
    <row r="27" spans="2:16" ht="15.75" customHeight="1" x14ac:dyDescent="0.25"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1"/>
      <c r="M27" s="69" t="s">
        <v>65</v>
      </c>
      <c r="N27" s="71"/>
      <c r="O27" s="28">
        <v>0</v>
      </c>
      <c r="P27" s="31"/>
    </row>
    <row r="28" spans="2:16" ht="16.5" customHeight="1" x14ac:dyDescent="0.25">
      <c r="B28" s="38"/>
      <c r="C28" s="40"/>
      <c r="D28" s="40"/>
      <c r="E28" s="40"/>
      <c r="F28" s="40"/>
      <c r="G28" s="40"/>
      <c r="H28" s="40"/>
      <c r="I28" s="40"/>
      <c r="J28" s="40"/>
      <c r="K28" s="40"/>
      <c r="L28" s="39"/>
      <c r="M28" s="69" t="s">
        <v>67</v>
      </c>
      <c r="N28" s="71"/>
      <c r="O28" s="27">
        <v>0</v>
      </c>
      <c r="P28" s="32" t="s">
        <v>18</v>
      </c>
    </row>
    <row r="29" spans="2:16" ht="16.5" customHeight="1" x14ac:dyDescent="0.25">
      <c r="B29" s="73" t="s">
        <v>47</v>
      </c>
      <c r="C29" s="74"/>
      <c r="D29" s="74"/>
      <c r="E29" s="74"/>
      <c r="F29" s="74"/>
      <c r="G29" s="74"/>
      <c r="H29" s="74"/>
      <c r="I29" s="74"/>
      <c r="J29" s="74"/>
      <c r="K29" s="74"/>
      <c r="L29" s="75"/>
      <c r="M29" s="69" t="s">
        <v>68</v>
      </c>
      <c r="N29" s="71"/>
      <c r="O29" s="27">
        <v>0</v>
      </c>
      <c r="P29" s="32" t="s">
        <v>18</v>
      </c>
    </row>
    <row r="30" spans="2:16" ht="15.75" customHeight="1" x14ac:dyDescent="0.25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  <c r="M30" s="69" t="s">
        <v>68</v>
      </c>
      <c r="N30" s="71"/>
      <c r="O30" s="27">
        <v>0</v>
      </c>
      <c r="P30" s="32" t="s">
        <v>18</v>
      </c>
    </row>
  </sheetData>
  <mergeCells count="34">
    <mergeCell ref="M28:N28"/>
    <mergeCell ref="M29:N29"/>
    <mergeCell ref="M15:N15"/>
    <mergeCell ref="M27:N27"/>
    <mergeCell ref="B29:L30"/>
    <mergeCell ref="M30:N30"/>
    <mergeCell ref="B17:N17"/>
    <mergeCell ref="B26:L27"/>
    <mergeCell ref="M26:N26"/>
    <mergeCell ref="B21:N21"/>
    <mergeCell ref="B22:N22"/>
    <mergeCell ref="B23:N23"/>
    <mergeCell ref="B24:N24"/>
    <mergeCell ref="B25:N25"/>
    <mergeCell ref="B18:N18"/>
    <mergeCell ref="B19:N19"/>
    <mergeCell ref="I6:J6"/>
    <mergeCell ref="M16:N16"/>
    <mergeCell ref="B20:N20"/>
    <mergeCell ref="B14:L16"/>
    <mergeCell ref="M14:N14"/>
    <mergeCell ref="K6:L6"/>
    <mergeCell ref="M6:N6"/>
    <mergeCell ref="S6:S7"/>
    <mergeCell ref="B5:S5"/>
    <mergeCell ref="B2:S3"/>
    <mergeCell ref="B1:S1"/>
    <mergeCell ref="B6:B7"/>
    <mergeCell ref="P6:R6"/>
    <mergeCell ref="B12:O12"/>
    <mergeCell ref="B13:P13"/>
    <mergeCell ref="E6:F6"/>
    <mergeCell ref="G6:H6"/>
    <mergeCell ref="C6:D6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4" workbookViewId="0">
      <selection activeCell="N20" sqref="N20"/>
    </sheetView>
  </sheetViews>
  <sheetFormatPr defaultRowHeight="16.5" x14ac:dyDescent="0.25"/>
  <cols>
    <col min="1" max="1" width="2.28515625" style="6" customWidth="1"/>
    <col min="2" max="2" width="11.85546875" style="6" bestFit="1" customWidth="1"/>
    <col min="3" max="9" width="13.28515625" style="6" bestFit="1" customWidth="1"/>
    <col min="10" max="10" width="13.28515625" style="6" customWidth="1"/>
    <col min="11" max="12" width="13.28515625" style="6" bestFit="1" customWidth="1"/>
    <col min="13" max="13" width="7.28515625" style="6" bestFit="1" customWidth="1"/>
    <col min="14" max="16384" width="9.140625" style="6"/>
  </cols>
  <sheetData>
    <row r="1" spans="2:13" ht="16.5" customHeight="1" x14ac:dyDescent="0.25">
      <c r="B1" s="85" t="s">
        <v>26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2:13" x14ac:dyDescent="0.25">
      <c r="B2" s="72"/>
      <c r="C2" s="72" t="s">
        <v>36</v>
      </c>
      <c r="D2" s="72"/>
      <c r="E2" s="72" t="s">
        <v>37</v>
      </c>
      <c r="F2" s="72"/>
      <c r="G2" s="72" t="s">
        <v>23</v>
      </c>
      <c r="H2" s="72"/>
      <c r="I2" s="72" t="s">
        <v>38</v>
      </c>
      <c r="J2" s="72"/>
      <c r="K2" s="72" t="s">
        <v>11</v>
      </c>
      <c r="L2" s="72"/>
      <c r="M2" s="72" t="s">
        <v>40</v>
      </c>
    </row>
    <row r="3" spans="2:13" ht="33" x14ac:dyDescent="0.25">
      <c r="B3" s="72"/>
      <c r="C3" s="22" t="s">
        <v>1</v>
      </c>
      <c r="D3" s="22" t="s">
        <v>2</v>
      </c>
      <c r="E3" s="22" t="s">
        <v>1</v>
      </c>
      <c r="F3" s="22" t="s">
        <v>2</v>
      </c>
      <c r="G3" s="22" t="s">
        <v>1</v>
      </c>
      <c r="H3" s="22" t="s">
        <v>2</v>
      </c>
      <c r="I3" s="22" t="s">
        <v>1</v>
      </c>
      <c r="J3" s="22" t="s">
        <v>2</v>
      </c>
      <c r="K3" s="22" t="s">
        <v>1</v>
      </c>
      <c r="L3" s="22" t="s">
        <v>2</v>
      </c>
      <c r="M3" s="72"/>
    </row>
    <row r="4" spans="2:13" x14ac:dyDescent="0.25">
      <c r="B4" s="22" t="s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f>C4+E4+G4+I4</f>
        <v>0</v>
      </c>
      <c r="L4" s="23">
        <f>D4+F4+H4+J4</f>
        <v>0</v>
      </c>
      <c r="M4" s="23">
        <f>K4+L4</f>
        <v>0</v>
      </c>
    </row>
    <row r="5" spans="2:13" x14ac:dyDescent="0.25">
      <c r="B5" s="22" t="s">
        <v>3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f t="shared" ref="K5:K10" si="0">C5+E5+G5</f>
        <v>0</v>
      </c>
      <c r="L5" s="23">
        <f t="shared" ref="L5:L10" si="1">D5+F5+H5+J5</f>
        <v>0</v>
      </c>
      <c r="M5" s="23">
        <f t="shared" ref="M5:M7" si="2">K5+L5</f>
        <v>0</v>
      </c>
    </row>
    <row r="6" spans="2:13" x14ac:dyDescent="0.25">
      <c r="B6" s="22" t="s">
        <v>51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f t="shared" si="0"/>
        <v>0</v>
      </c>
      <c r="L6" s="23">
        <f t="shared" si="1"/>
        <v>0</v>
      </c>
      <c r="M6" s="23">
        <f t="shared" si="2"/>
        <v>0</v>
      </c>
    </row>
    <row r="7" spans="2:13" ht="33" x14ac:dyDescent="0.25">
      <c r="B7" s="22" t="s">
        <v>4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f t="shared" si="0"/>
        <v>0</v>
      </c>
      <c r="L7" s="23">
        <f t="shared" si="1"/>
        <v>0</v>
      </c>
      <c r="M7" s="23">
        <f t="shared" si="2"/>
        <v>0</v>
      </c>
    </row>
    <row r="8" spans="2:13" ht="33" x14ac:dyDescent="0.25">
      <c r="B8" s="22" t="s">
        <v>86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f t="shared" si="0"/>
        <v>0</v>
      </c>
      <c r="L8" s="23">
        <f t="shared" si="1"/>
        <v>0</v>
      </c>
      <c r="M8" s="23">
        <f t="shared" ref="M8" si="3">K8+L8</f>
        <v>0</v>
      </c>
    </row>
    <row r="9" spans="2:13" x14ac:dyDescent="0.25">
      <c r="B9" s="22" t="s">
        <v>48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f t="shared" si="0"/>
        <v>0</v>
      </c>
      <c r="L9" s="23">
        <f t="shared" si="1"/>
        <v>0</v>
      </c>
      <c r="M9" s="23">
        <f t="shared" ref="M9" si="4">K9+L9</f>
        <v>0</v>
      </c>
    </row>
    <row r="10" spans="2:13" ht="33" x14ac:dyDescent="0.25">
      <c r="B10" s="22" t="s">
        <v>49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f t="shared" si="0"/>
        <v>0</v>
      </c>
      <c r="L10" s="23">
        <f t="shared" si="1"/>
        <v>0</v>
      </c>
      <c r="M10" s="23">
        <f t="shared" ref="M10" si="5">K10+L10</f>
        <v>0</v>
      </c>
    </row>
    <row r="11" spans="2:13" x14ac:dyDescent="0.25">
      <c r="B11" s="22" t="s">
        <v>11</v>
      </c>
      <c r="C11" s="23">
        <f>SUM(C4:C10)</f>
        <v>0</v>
      </c>
      <c r="D11" s="23">
        <f t="shared" ref="D11:L11" si="6">SUM(D4:D10)</f>
        <v>0</v>
      </c>
      <c r="E11" s="23">
        <f t="shared" si="6"/>
        <v>0</v>
      </c>
      <c r="F11" s="23">
        <f t="shared" si="6"/>
        <v>0</v>
      </c>
      <c r="G11" s="23">
        <f t="shared" si="6"/>
        <v>0</v>
      </c>
      <c r="H11" s="23">
        <f t="shared" si="6"/>
        <v>0</v>
      </c>
      <c r="I11" s="23">
        <f t="shared" si="6"/>
        <v>0</v>
      </c>
      <c r="J11" s="23">
        <f t="shared" si="6"/>
        <v>0</v>
      </c>
      <c r="K11" s="23">
        <f t="shared" si="6"/>
        <v>0</v>
      </c>
      <c r="L11" s="23">
        <f t="shared" si="6"/>
        <v>0</v>
      </c>
      <c r="M11" s="23">
        <f>SUM(M4:M7)</f>
        <v>0</v>
      </c>
    </row>
    <row r="12" spans="2:13" x14ac:dyDescent="0.25">
      <c r="B12" s="65"/>
      <c r="C12" s="65"/>
      <c r="D12" s="65"/>
      <c r="E12" s="65"/>
      <c r="F12" s="65"/>
      <c r="G12" s="65"/>
      <c r="H12" s="65"/>
      <c r="I12" s="65"/>
      <c r="J12" s="4"/>
      <c r="K12" s="1"/>
    </row>
    <row r="13" spans="2:13" ht="16.5" customHeight="1" x14ac:dyDescent="0.25">
      <c r="B13" s="85" t="s">
        <v>25</v>
      </c>
      <c r="C13" s="85"/>
      <c r="D13" s="85"/>
      <c r="E13" s="85"/>
      <c r="F13" s="85"/>
      <c r="G13" s="85"/>
      <c r="H13" s="85"/>
      <c r="I13" s="85"/>
      <c r="J13" s="14"/>
      <c r="K13" s="14"/>
    </row>
    <row r="14" spans="2:13" ht="16.5" customHeight="1" x14ac:dyDescent="0.25">
      <c r="B14" s="98" t="s">
        <v>12</v>
      </c>
      <c r="C14" s="98"/>
      <c r="D14" s="98"/>
      <c r="E14" s="98"/>
      <c r="F14" s="98"/>
      <c r="G14" s="98"/>
      <c r="H14" s="98"/>
      <c r="I14" s="58">
        <v>0</v>
      </c>
      <c r="J14" s="24" t="s">
        <v>18</v>
      </c>
    </row>
    <row r="15" spans="2:13" ht="16.5" customHeight="1" x14ac:dyDescent="0.25">
      <c r="B15" s="98" t="s">
        <v>13</v>
      </c>
      <c r="C15" s="98"/>
      <c r="D15" s="98"/>
      <c r="E15" s="98"/>
      <c r="F15" s="98"/>
      <c r="G15" s="98"/>
      <c r="H15" s="98"/>
      <c r="I15" s="58">
        <v>0</v>
      </c>
      <c r="J15" s="24" t="s">
        <v>18</v>
      </c>
    </row>
    <row r="16" spans="2:13" ht="16.5" customHeight="1" x14ac:dyDescent="0.25">
      <c r="B16" s="98" t="s">
        <v>14</v>
      </c>
      <c r="C16" s="98"/>
      <c r="D16" s="98"/>
      <c r="E16" s="98"/>
      <c r="F16" s="98"/>
      <c r="G16" s="98"/>
      <c r="H16" s="98"/>
      <c r="I16" s="58">
        <f>I14-I15</f>
        <v>0</v>
      </c>
      <c r="J16" s="24" t="s">
        <v>18</v>
      </c>
    </row>
    <row r="17" spans="2:10" ht="16.5" customHeight="1" x14ac:dyDescent="0.25">
      <c r="B17" s="98" t="s">
        <v>15</v>
      </c>
      <c r="C17" s="98"/>
      <c r="D17" s="98"/>
      <c r="E17" s="98"/>
      <c r="F17" s="98"/>
      <c r="G17" s="98"/>
      <c r="H17" s="98"/>
      <c r="I17" s="58">
        <v>0</v>
      </c>
      <c r="J17" s="24" t="s">
        <v>18</v>
      </c>
    </row>
    <row r="18" spans="2:10" ht="16.5" customHeight="1" x14ac:dyDescent="0.25">
      <c r="B18" s="98" t="s">
        <v>27</v>
      </c>
      <c r="C18" s="98"/>
      <c r="D18" s="98"/>
      <c r="E18" s="98"/>
      <c r="F18" s="98"/>
      <c r="G18" s="98"/>
      <c r="H18" s="98"/>
      <c r="I18" s="59" t="e">
        <f>I17/I16</f>
        <v>#DIV/0!</v>
      </c>
      <c r="J18" s="24" t="s">
        <v>19</v>
      </c>
    </row>
    <row r="19" spans="2:10" ht="16.5" customHeight="1" x14ac:dyDescent="0.25">
      <c r="B19" s="98" t="s">
        <v>28</v>
      </c>
      <c r="C19" s="98"/>
      <c r="D19" s="98"/>
      <c r="E19" s="98"/>
      <c r="F19" s="98"/>
      <c r="G19" s="98"/>
      <c r="H19" s="98"/>
      <c r="I19" s="58">
        <v>0</v>
      </c>
      <c r="J19" s="24" t="s">
        <v>18</v>
      </c>
    </row>
    <row r="20" spans="2:10" ht="16.5" customHeight="1" x14ac:dyDescent="0.25">
      <c r="B20" s="98" t="s">
        <v>16</v>
      </c>
      <c r="C20" s="98"/>
      <c r="D20" s="98"/>
      <c r="E20" s="98"/>
      <c r="F20" s="98"/>
      <c r="G20" s="98"/>
      <c r="H20" s="98"/>
      <c r="I20" s="59" t="e">
        <f>I19/I16</f>
        <v>#DIV/0!</v>
      </c>
      <c r="J20" s="24" t="s">
        <v>19</v>
      </c>
    </row>
    <row r="21" spans="2:10" ht="16.5" customHeight="1" x14ac:dyDescent="0.25">
      <c r="B21" s="98" t="s">
        <v>17</v>
      </c>
      <c r="C21" s="98"/>
      <c r="D21" s="98"/>
      <c r="E21" s="98"/>
      <c r="F21" s="98"/>
      <c r="G21" s="98"/>
      <c r="H21" s="98"/>
      <c r="I21" s="58" t="e">
        <f>(C11+E11+G11)/I16</f>
        <v>#DIV/0!</v>
      </c>
      <c r="J21" s="24"/>
    </row>
    <row r="22" spans="2:10" ht="16.5" customHeight="1" x14ac:dyDescent="0.25">
      <c r="B22" s="98" t="s">
        <v>29</v>
      </c>
      <c r="C22" s="98"/>
      <c r="D22" s="98"/>
      <c r="E22" s="98"/>
      <c r="F22" s="98"/>
      <c r="G22" s="98"/>
      <c r="H22" s="98"/>
      <c r="I22" s="60">
        <v>0</v>
      </c>
      <c r="J22" s="24"/>
    </row>
    <row r="23" spans="2:10" ht="16.5" customHeight="1" x14ac:dyDescent="0.25">
      <c r="B23" s="98" t="s">
        <v>20</v>
      </c>
      <c r="C23" s="98"/>
      <c r="D23" s="98"/>
      <c r="E23" s="98"/>
      <c r="F23" s="98"/>
      <c r="G23" s="98"/>
      <c r="H23" s="32" t="s">
        <v>41</v>
      </c>
      <c r="I23" s="60">
        <v>0</v>
      </c>
      <c r="J23" s="24"/>
    </row>
    <row r="24" spans="2:10" ht="16.5" customHeight="1" x14ac:dyDescent="0.25">
      <c r="B24" s="98"/>
      <c r="C24" s="98"/>
      <c r="D24" s="98"/>
      <c r="E24" s="98"/>
      <c r="F24" s="98"/>
      <c r="G24" s="98"/>
      <c r="H24" s="32" t="s">
        <v>42</v>
      </c>
      <c r="I24" s="60">
        <v>0</v>
      </c>
      <c r="J24" s="24"/>
    </row>
    <row r="25" spans="2:10" ht="16.5" customHeight="1" x14ac:dyDescent="0.25">
      <c r="B25" s="98" t="s">
        <v>31</v>
      </c>
      <c r="C25" s="98"/>
      <c r="D25" s="98"/>
      <c r="E25" s="98"/>
      <c r="F25" s="98"/>
      <c r="G25" s="98"/>
      <c r="H25" s="98"/>
      <c r="I25" s="60">
        <v>0</v>
      </c>
      <c r="J25" s="24"/>
    </row>
    <row r="26" spans="2:10" ht="16.5" customHeight="1" x14ac:dyDescent="0.25">
      <c r="B26" s="98" t="s">
        <v>32</v>
      </c>
      <c r="C26" s="98"/>
      <c r="D26" s="98"/>
      <c r="E26" s="98"/>
      <c r="F26" s="98"/>
      <c r="G26" s="98"/>
      <c r="H26" s="98"/>
      <c r="I26" s="58">
        <v>0</v>
      </c>
      <c r="J26" s="24" t="s">
        <v>18</v>
      </c>
    </row>
    <row r="27" spans="2:10" ht="16.5" customHeight="1" x14ac:dyDescent="0.25">
      <c r="B27" s="98" t="s">
        <v>22</v>
      </c>
      <c r="C27" s="98"/>
      <c r="D27" s="98"/>
      <c r="E27" s="98"/>
      <c r="F27" s="98"/>
      <c r="G27" s="98"/>
      <c r="H27" s="98"/>
      <c r="I27" s="60">
        <v>0</v>
      </c>
      <c r="J27" s="24"/>
    </row>
    <row r="28" spans="2:10" ht="16.5" customHeight="1" x14ac:dyDescent="0.25">
      <c r="B28" s="98" t="s">
        <v>21</v>
      </c>
      <c r="C28" s="98"/>
      <c r="D28" s="98"/>
      <c r="E28" s="98"/>
      <c r="F28" s="98"/>
      <c r="G28" s="98"/>
      <c r="H28" s="98"/>
      <c r="I28" s="60">
        <v>0</v>
      </c>
      <c r="J28" s="24"/>
    </row>
    <row r="29" spans="2:10" ht="16.5" customHeight="1" x14ac:dyDescent="0.25">
      <c r="B29" s="98" t="s">
        <v>33</v>
      </c>
      <c r="C29" s="98"/>
      <c r="D29" s="98"/>
      <c r="E29" s="98"/>
      <c r="F29" s="98"/>
      <c r="G29" s="98"/>
      <c r="H29" s="32" t="s">
        <v>34</v>
      </c>
      <c r="I29" s="58">
        <f>(I23*9)+(I24*4)</f>
        <v>0</v>
      </c>
      <c r="J29" s="24" t="s">
        <v>18</v>
      </c>
    </row>
    <row r="30" spans="2:10" ht="16.5" customHeight="1" x14ac:dyDescent="0.25">
      <c r="B30" s="98"/>
      <c r="C30" s="98"/>
      <c r="D30" s="98"/>
      <c r="E30" s="98"/>
      <c r="F30" s="98"/>
      <c r="G30" s="98"/>
      <c r="H30" s="32" t="s">
        <v>35</v>
      </c>
      <c r="I30" s="58">
        <v>0</v>
      </c>
      <c r="J30" s="24" t="s">
        <v>18</v>
      </c>
    </row>
  </sheetData>
  <mergeCells count="25">
    <mergeCell ref="M2:M3"/>
    <mergeCell ref="B1:M1"/>
    <mergeCell ref="I2:J2"/>
    <mergeCell ref="B13:I13"/>
    <mergeCell ref="B21:H21"/>
    <mergeCell ref="K2:L2"/>
    <mergeCell ref="E2:F2"/>
    <mergeCell ref="B2:B3"/>
    <mergeCell ref="C2:D2"/>
    <mergeCell ref="G2:H2"/>
    <mergeCell ref="B22:H22"/>
    <mergeCell ref="B23:G24"/>
    <mergeCell ref="B12:I12"/>
    <mergeCell ref="B14:H14"/>
    <mergeCell ref="B15:H15"/>
    <mergeCell ref="B16:H16"/>
    <mergeCell ref="B17:H17"/>
    <mergeCell ref="B18:H18"/>
    <mergeCell ref="B19:H19"/>
    <mergeCell ref="B20:H20"/>
    <mergeCell ref="B25:H25"/>
    <mergeCell ref="B26:H26"/>
    <mergeCell ref="B27:H27"/>
    <mergeCell ref="B28:H28"/>
    <mergeCell ref="B29:G30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2"/>
  <sheetViews>
    <sheetView topLeftCell="A4" zoomScale="85" zoomScaleNormal="85" workbookViewId="0">
      <selection activeCell="O25" sqref="O25"/>
    </sheetView>
  </sheetViews>
  <sheetFormatPr defaultRowHeight="16.5" x14ac:dyDescent="0.25"/>
  <cols>
    <col min="1" max="1" width="2.28515625" style="6" customWidth="1"/>
    <col min="2" max="2" width="11.85546875" style="6" customWidth="1"/>
    <col min="3" max="6" width="13.28515625" style="6" bestFit="1" customWidth="1"/>
    <col min="7" max="7" width="14.5703125" style="6" bestFit="1" customWidth="1"/>
    <col min="8" max="11" width="13.28515625" style="6" bestFit="1" customWidth="1"/>
    <col min="12" max="12" width="13.28515625" style="6" customWidth="1"/>
    <col min="13" max="14" width="13.28515625" style="6" bestFit="1" customWidth="1"/>
    <col min="15" max="15" width="13.5703125" style="6" customWidth="1"/>
    <col min="16" max="16" width="17.7109375" style="6" bestFit="1" customWidth="1"/>
    <col min="17" max="16384" width="9.140625" style="6"/>
  </cols>
  <sheetData>
    <row r="1" spans="2:16" x14ac:dyDescent="0.25">
      <c r="B1" s="85" t="s">
        <v>26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2:16" x14ac:dyDescent="0.25">
      <c r="B2" s="72"/>
      <c r="C2" s="72" t="s">
        <v>36</v>
      </c>
      <c r="D2" s="72"/>
      <c r="E2" s="72" t="s">
        <v>37</v>
      </c>
      <c r="F2" s="72"/>
      <c r="G2" s="72" t="s">
        <v>87</v>
      </c>
      <c r="H2" s="72"/>
      <c r="I2" s="72" t="s">
        <v>23</v>
      </c>
      <c r="J2" s="72"/>
      <c r="K2" s="72" t="s">
        <v>38</v>
      </c>
      <c r="L2" s="72"/>
      <c r="M2" s="72" t="s">
        <v>11</v>
      </c>
      <c r="N2" s="72"/>
      <c r="O2" s="72" t="s">
        <v>40</v>
      </c>
    </row>
    <row r="3" spans="2:16" ht="33" x14ac:dyDescent="0.25">
      <c r="B3" s="72"/>
      <c r="C3" s="22" t="s">
        <v>1</v>
      </c>
      <c r="D3" s="22" t="s">
        <v>2</v>
      </c>
      <c r="E3" s="22" t="s">
        <v>1</v>
      </c>
      <c r="F3" s="22" t="s">
        <v>2</v>
      </c>
      <c r="G3" s="22" t="s">
        <v>1</v>
      </c>
      <c r="H3" s="22" t="s">
        <v>2</v>
      </c>
      <c r="I3" s="22" t="s">
        <v>1</v>
      </c>
      <c r="J3" s="22" t="s">
        <v>2</v>
      </c>
      <c r="K3" s="22" t="s">
        <v>1</v>
      </c>
      <c r="L3" s="22" t="s">
        <v>2</v>
      </c>
      <c r="M3" s="22" t="s">
        <v>1</v>
      </c>
      <c r="N3" s="22" t="s">
        <v>2</v>
      </c>
      <c r="O3" s="72"/>
    </row>
    <row r="4" spans="2:16" x14ac:dyDescent="0.25">
      <c r="B4" s="22" t="s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f t="shared" ref="I4:I10" si="0">SUM(C4:H4)</f>
        <v>0</v>
      </c>
      <c r="J4" s="23">
        <f t="shared" ref="J4:J10" si="1">SUM(D4:I4)</f>
        <v>0</v>
      </c>
      <c r="K4" s="23">
        <f t="shared" ref="K4:K10" si="2">SUM(E4:J4)</f>
        <v>0</v>
      </c>
      <c r="L4" s="23">
        <f t="shared" ref="L4:L10" si="3">SUM(F4:K4)</f>
        <v>0</v>
      </c>
      <c r="M4" s="23">
        <f t="shared" ref="M4:M11" si="4">C4+E4+G4</f>
        <v>0</v>
      </c>
      <c r="N4" s="23">
        <f>D4+F4+H4+I4+J4+K4</f>
        <v>0</v>
      </c>
      <c r="O4" s="23">
        <f>M4+N4</f>
        <v>0</v>
      </c>
    </row>
    <row r="5" spans="2:16" x14ac:dyDescent="0.25">
      <c r="B5" s="22" t="s">
        <v>3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f t="shared" si="0"/>
        <v>0</v>
      </c>
      <c r="J5" s="23">
        <f t="shared" si="1"/>
        <v>0</v>
      </c>
      <c r="K5" s="23">
        <f t="shared" si="2"/>
        <v>0</v>
      </c>
      <c r="L5" s="23">
        <f t="shared" si="3"/>
        <v>0</v>
      </c>
      <c r="M5" s="23">
        <f t="shared" si="4"/>
        <v>0</v>
      </c>
      <c r="N5" s="23">
        <f t="shared" ref="N5:N10" si="5">D5+F5+H5+I5+J5+K5</f>
        <v>0</v>
      </c>
      <c r="O5" s="23">
        <f t="shared" ref="O5:O10" si="6">M5+N5</f>
        <v>0</v>
      </c>
    </row>
    <row r="6" spans="2:16" x14ac:dyDescent="0.25">
      <c r="B6" s="22" t="s">
        <v>51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f t="shared" si="0"/>
        <v>0</v>
      </c>
      <c r="J6" s="23">
        <f t="shared" si="1"/>
        <v>0</v>
      </c>
      <c r="K6" s="23">
        <f t="shared" si="2"/>
        <v>0</v>
      </c>
      <c r="L6" s="23">
        <f t="shared" si="3"/>
        <v>0</v>
      </c>
      <c r="M6" s="23">
        <f t="shared" si="4"/>
        <v>0</v>
      </c>
      <c r="N6" s="23">
        <f>D6+F6+H6+I6+J6+K6</f>
        <v>0</v>
      </c>
      <c r="O6" s="23">
        <f t="shared" ref="O6:O8" si="7">M6+N6</f>
        <v>0</v>
      </c>
    </row>
    <row r="7" spans="2:16" ht="33" x14ac:dyDescent="0.25">
      <c r="B7" s="22" t="s">
        <v>4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f t="shared" si="0"/>
        <v>0</v>
      </c>
      <c r="J7" s="23">
        <f t="shared" si="1"/>
        <v>0</v>
      </c>
      <c r="K7" s="23">
        <f t="shared" si="2"/>
        <v>0</v>
      </c>
      <c r="L7" s="23">
        <f t="shared" si="3"/>
        <v>0</v>
      </c>
      <c r="M7" s="23">
        <f t="shared" si="4"/>
        <v>0</v>
      </c>
      <c r="N7" s="23">
        <f>D7+F7+H7+I7+J7+K7</f>
        <v>0</v>
      </c>
      <c r="O7" s="23">
        <f t="shared" si="7"/>
        <v>0</v>
      </c>
    </row>
    <row r="8" spans="2:16" ht="33" x14ac:dyDescent="0.25">
      <c r="B8" s="22" t="s">
        <v>86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f t="shared" si="0"/>
        <v>0</v>
      </c>
      <c r="J8" s="23">
        <f t="shared" si="1"/>
        <v>0</v>
      </c>
      <c r="K8" s="23">
        <f t="shared" si="2"/>
        <v>0</v>
      </c>
      <c r="L8" s="23">
        <f t="shared" si="3"/>
        <v>0</v>
      </c>
      <c r="M8" s="23">
        <f t="shared" si="4"/>
        <v>0</v>
      </c>
      <c r="N8" s="23">
        <f>D8+F8+H8+I8+J8+K8</f>
        <v>0</v>
      </c>
      <c r="O8" s="23">
        <f t="shared" si="7"/>
        <v>0</v>
      </c>
    </row>
    <row r="9" spans="2:16" x14ac:dyDescent="0.25">
      <c r="B9" s="22" t="s">
        <v>39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f t="shared" si="0"/>
        <v>0</v>
      </c>
      <c r="J9" s="23">
        <f t="shared" si="1"/>
        <v>0</v>
      </c>
      <c r="K9" s="23">
        <f t="shared" si="2"/>
        <v>0</v>
      </c>
      <c r="L9" s="23">
        <f t="shared" si="3"/>
        <v>0</v>
      </c>
      <c r="M9" s="23">
        <f t="shared" si="4"/>
        <v>0</v>
      </c>
      <c r="N9" s="23">
        <f t="shared" si="5"/>
        <v>0</v>
      </c>
      <c r="O9" s="23">
        <f t="shared" si="6"/>
        <v>0</v>
      </c>
    </row>
    <row r="10" spans="2:16" x14ac:dyDescent="0.25">
      <c r="B10" s="22" t="s">
        <v>48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f t="shared" si="0"/>
        <v>0</v>
      </c>
      <c r="J10" s="23">
        <f t="shared" si="1"/>
        <v>0</v>
      </c>
      <c r="K10" s="23">
        <f t="shared" si="2"/>
        <v>0</v>
      </c>
      <c r="L10" s="23">
        <f t="shared" si="3"/>
        <v>0</v>
      </c>
      <c r="M10" s="23">
        <f t="shared" si="4"/>
        <v>0</v>
      </c>
      <c r="N10" s="23">
        <f t="shared" si="5"/>
        <v>0</v>
      </c>
      <c r="O10" s="23">
        <f t="shared" si="6"/>
        <v>0</v>
      </c>
    </row>
    <row r="11" spans="2:16" ht="33" x14ac:dyDescent="0.25">
      <c r="B11" s="22" t="s">
        <v>52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f t="shared" ref="I11" si="8">SUM(C11:H11)</f>
        <v>0</v>
      </c>
      <c r="J11" s="23">
        <f t="shared" ref="J11" si="9">SUM(D11:I11)</f>
        <v>0</v>
      </c>
      <c r="K11" s="23">
        <f t="shared" ref="K11" si="10">SUM(E11:J11)</f>
        <v>0</v>
      </c>
      <c r="L11" s="23">
        <f t="shared" ref="L11" si="11">SUM(F11:K11)</f>
        <v>0</v>
      </c>
      <c r="M11" s="23">
        <f t="shared" si="4"/>
        <v>0</v>
      </c>
      <c r="N11" s="23">
        <f t="shared" ref="N11" si="12">D11+F11+H11+I11+J11+K11</f>
        <v>0</v>
      </c>
      <c r="O11" s="23">
        <f t="shared" ref="O11" si="13">M11+N11</f>
        <v>0</v>
      </c>
    </row>
    <row r="12" spans="2:16" x14ac:dyDescent="0.25">
      <c r="B12" s="22" t="s">
        <v>11</v>
      </c>
      <c r="C12" s="23">
        <f>SUM(C4:C11)</f>
        <v>0</v>
      </c>
      <c r="D12" s="23">
        <f t="shared" ref="D12:M12" si="14">SUM(D4:D11)</f>
        <v>0</v>
      </c>
      <c r="E12" s="23">
        <f t="shared" si="14"/>
        <v>0</v>
      </c>
      <c r="F12" s="23">
        <f t="shared" si="14"/>
        <v>0</v>
      </c>
      <c r="G12" s="23">
        <f t="shared" si="14"/>
        <v>0</v>
      </c>
      <c r="H12" s="23">
        <f t="shared" si="14"/>
        <v>0</v>
      </c>
      <c r="I12" s="23">
        <f t="shared" si="14"/>
        <v>0</v>
      </c>
      <c r="J12" s="23">
        <f t="shared" si="14"/>
        <v>0</v>
      </c>
      <c r="K12" s="23">
        <f t="shared" si="14"/>
        <v>0</v>
      </c>
      <c r="L12" s="23">
        <f t="shared" si="14"/>
        <v>0</v>
      </c>
      <c r="M12" s="23">
        <f t="shared" si="14"/>
        <v>0</v>
      </c>
      <c r="N12" s="23">
        <f>SUM(N4:N11)</f>
        <v>0</v>
      </c>
      <c r="O12" s="23">
        <f t="shared" ref="O12" si="15">SUM(O4:O11)</f>
        <v>0</v>
      </c>
    </row>
    <row r="13" spans="2:16" x14ac:dyDescent="0.25">
      <c r="B13" s="65"/>
      <c r="C13" s="65"/>
      <c r="D13" s="65"/>
      <c r="E13" s="65"/>
      <c r="F13" s="65"/>
      <c r="G13" s="65"/>
      <c r="H13" s="65"/>
      <c r="I13" s="1"/>
    </row>
    <row r="14" spans="2:16" x14ac:dyDescent="0.25">
      <c r="B14" s="85" t="s">
        <v>25</v>
      </c>
      <c r="C14" s="85"/>
      <c r="D14" s="85"/>
      <c r="E14" s="85"/>
      <c r="F14" s="85"/>
      <c r="G14" s="85"/>
      <c r="H14" s="85"/>
      <c r="I14" s="85"/>
    </row>
    <row r="15" spans="2:16" x14ac:dyDescent="0.25">
      <c r="B15" s="99" t="s">
        <v>12</v>
      </c>
      <c r="C15" s="99"/>
      <c r="D15" s="99"/>
      <c r="E15" s="99"/>
      <c r="F15" s="99"/>
      <c r="G15" s="99"/>
      <c r="H15" s="9">
        <v>0</v>
      </c>
      <c r="I15" s="12" t="s">
        <v>18</v>
      </c>
    </row>
    <row r="16" spans="2:16" x14ac:dyDescent="0.25">
      <c r="B16" s="99" t="s">
        <v>13</v>
      </c>
      <c r="C16" s="99"/>
      <c r="D16" s="99"/>
      <c r="E16" s="99"/>
      <c r="F16" s="99"/>
      <c r="G16" s="99"/>
      <c r="H16" s="9">
        <v>0</v>
      </c>
      <c r="I16" s="12" t="s">
        <v>18</v>
      </c>
    </row>
    <row r="17" spans="2:9" x14ac:dyDescent="0.25">
      <c r="B17" s="99" t="s">
        <v>14</v>
      </c>
      <c r="C17" s="99"/>
      <c r="D17" s="99"/>
      <c r="E17" s="99"/>
      <c r="F17" s="99"/>
      <c r="G17" s="99"/>
      <c r="H17" s="9">
        <f>H15-H16</f>
        <v>0</v>
      </c>
      <c r="I17" s="12" t="s">
        <v>18</v>
      </c>
    </row>
    <row r="18" spans="2:9" x14ac:dyDescent="0.25">
      <c r="B18" s="99" t="s">
        <v>15</v>
      </c>
      <c r="C18" s="99"/>
      <c r="D18" s="99"/>
      <c r="E18" s="99"/>
      <c r="F18" s="99"/>
      <c r="G18" s="99"/>
      <c r="H18" s="9">
        <v>0</v>
      </c>
      <c r="I18" s="12" t="s">
        <v>18</v>
      </c>
    </row>
    <row r="19" spans="2:9" x14ac:dyDescent="0.25">
      <c r="B19" s="99" t="s">
        <v>27</v>
      </c>
      <c r="C19" s="99"/>
      <c r="D19" s="99"/>
      <c r="E19" s="99"/>
      <c r="F19" s="99"/>
      <c r="G19" s="99"/>
      <c r="H19" s="10" t="e">
        <f>H18/H17</f>
        <v>#DIV/0!</v>
      </c>
      <c r="I19" s="12" t="s">
        <v>19</v>
      </c>
    </row>
    <row r="20" spans="2:9" x14ac:dyDescent="0.25">
      <c r="B20" s="99" t="s">
        <v>28</v>
      </c>
      <c r="C20" s="99"/>
      <c r="D20" s="99"/>
      <c r="E20" s="99"/>
      <c r="F20" s="99"/>
      <c r="G20" s="99"/>
      <c r="H20" s="9">
        <v>0</v>
      </c>
      <c r="I20" s="12" t="s">
        <v>18</v>
      </c>
    </row>
    <row r="21" spans="2:9" x14ac:dyDescent="0.25">
      <c r="B21" s="99" t="s">
        <v>16</v>
      </c>
      <c r="C21" s="99"/>
      <c r="D21" s="99"/>
      <c r="E21" s="99"/>
      <c r="F21" s="99"/>
      <c r="G21" s="99"/>
      <c r="H21" s="10" t="e">
        <f>H20/H17</f>
        <v>#DIV/0!</v>
      </c>
      <c r="I21" s="12" t="s">
        <v>19</v>
      </c>
    </row>
    <row r="22" spans="2:9" ht="16.5" customHeight="1" x14ac:dyDescent="0.25">
      <c r="B22" s="100" t="s">
        <v>50</v>
      </c>
      <c r="C22" s="100"/>
      <c r="D22" s="100"/>
      <c r="E22" s="100"/>
      <c r="F22" s="100"/>
      <c r="G22" s="17" t="s">
        <v>45</v>
      </c>
      <c r="H22" s="16">
        <v>1</v>
      </c>
      <c r="I22" s="12"/>
    </row>
    <row r="23" spans="2:9" ht="16.5" customHeight="1" x14ac:dyDescent="0.25">
      <c r="B23" s="100"/>
      <c r="C23" s="100"/>
      <c r="D23" s="100"/>
      <c r="E23" s="100"/>
      <c r="F23" s="100"/>
      <c r="G23" s="17" t="s">
        <v>35</v>
      </c>
      <c r="H23" s="16" t="e">
        <f>M12/H17</f>
        <v>#DIV/0!</v>
      </c>
      <c r="I23" s="12"/>
    </row>
    <row r="24" spans="2:9" x14ac:dyDescent="0.25">
      <c r="B24" s="99" t="s">
        <v>29</v>
      </c>
      <c r="C24" s="99"/>
      <c r="D24" s="99"/>
      <c r="E24" s="99"/>
      <c r="F24" s="99"/>
      <c r="G24" s="99"/>
      <c r="H24" s="11">
        <v>0</v>
      </c>
      <c r="I24" s="12"/>
    </row>
    <row r="25" spans="2:9" ht="25.5" x14ac:dyDescent="0.25">
      <c r="B25" s="99" t="s">
        <v>20</v>
      </c>
      <c r="C25" s="99"/>
      <c r="D25" s="99"/>
      <c r="E25" s="99"/>
      <c r="F25" s="99"/>
      <c r="G25" s="18" t="s">
        <v>53</v>
      </c>
      <c r="H25" s="11">
        <v>0</v>
      </c>
      <c r="I25" s="12"/>
    </row>
    <row r="26" spans="2:9" ht="25.5" x14ac:dyDescent="0.25">
      <c r="B26" s="99"/>
      <c r="C26" s="99"/>
      <c r="D26" s="99"/>
      <c r="E26" s="99"/>
      <c r="F26" s="99"/>
      <c r="G26" s="18" t="s">
        <v>54</v>
      </c>
      <c r="H26" s="11">
        <v>0</v>
      </c>
      <c r="I26" s="12"/>
    </row>
    <row r="27" spans="2:9" ht="16.5" customHeight="1" x14ac:dyDescent="0.25">
      <c r="B27" s="99" t="s">
        <v>31</v>
      </c>
      <c r="C27" s="99"/>
      <c r="D27" s="99"/>
      <c r="E27" s="99"/>
      <c r="F27" s="99"/>
      <c r="G27" s="99"/>
      <c r="H27" s="11">
        <v>0</v>
      </c>
      <c r="I27" s="12"/>
    </row>
    <row r="28" spans="2:9" x14ac:dyDescent="0.25">
      <c r="B28" s="99" t="s">
        <v>32</v>
      </c>
      <c r="C28" s="99"/>
      <c r="D28" s="99"/>
      <c r="E28" s="99"/>
      <c r="F28" s="99"/>
      <c r="G28" s="99"/>
      <c r="H28" s="9">
        <v>0</v>
      </c>
      <c r="I28" s="12" t="s">
        <v>18</v>
      </c>
    </row>
    <row r="29" spans="2:9" x14ac:dyDescent="0.25">
      <c r="B29" s="99" t="s">
        <v>22</v>
      </c>
      <c r="C29" s="99"/>
      <c r="D29" s="99"/>
      <c r="E29" s="99"/>
      <c r="F29" s="99"/>
      <c r="G29" s="99"/>
      <c r="H29" s="11">
        <v>0</v>
      </c>
      <c r="I29" s="12"/>
    </row>
    <row r="30" spans="2:9" x14ac:dyDescent="0.25">
      <c r="B30" s="99" t="s">
        <v>21</v>
      </c>
      <c r="C30" s="99"/>
      <c r="D30" s="99"/>
      <c r="E30" s="99"/>
      <c r="F30" s="99"/>
      <c r="G30" s="99"/>
      <c r="H30" s="11">
        <v>0</v>
      </c>
      <c r="I30" s="12"/>
    </row>
    <row r="31" spans="2:9" x14ac:dyDescent="0.25">
      <c r="B31" s="99" t="s">
        <v>33</v>
      </c>
      <c r="C31" s="99"/>
      <c r="D31" s="99"/>
      <c r="E31" s="99"/>
      <c r="F31" s="99"/>
      <c r="G31" s="18" t="s">
        <v>34</v>
      </c>
      <c r="H31" s="9">
        <f>(H25*9)+(H26*12)</f>
        <v>0</v>
      </c>
      <c r="I31" s="12" t="s">
        <v>18</v>
      </c>
    </row>
    <row r="32" spans="2:9" x14ac:dyDescent="0.25">
      <c r="B32" s="99"/>
      <c r="C32" s="99"/>
      <c r="D32" s="99"/>
      <c r="E32" s="99"/>
      <c r="F32" s="99"/>
      <c r="G32" s="18" t="s">
        <v>35</v>
      </c>
      <c r="H32" s="9">
        <v>0</v>
      </c>
      <c r="I32" s="12" t="s">
        <v>18</v>
      </c>
    </row>
  </sheetData>
  <mergeCells count="26">
    <mergeCell ref="B21:G21"/>
    <mergeCell ref="B27:G27"/>
    <mergeCell ref="I2:J2"/>
    <mergeCell ref="K2:L2"/>
    <mergeCell ref="B22:F23"/>
    <mergeCell ref="B17:G17"/>
    <mergeCell ref="B18:G18"/>
    <mergeCell ref="B19:G19"/>
    <mergeCell ref="B20:G20"/>
    <mergeCell ref="B14:I14"/>
    <mergeCell ref="B15:G15"/>
    <mergeCell ref="B16:G16"/>
    <mergeCell ref="E2:F2"/>
    <mergeCell ref="G2:H2"/>
    <mergeCell ref="B28:G28"/>
    <mergeCell ref="B29:G29"/>
    <mergeCell ref="B30:G30"/>
    <mergeCell ref="B31:F32"/>
    <mergeCell ref="B24:G24"/>
    <mergeCell ref="B25:F26"/>
    <mergeCell ref="B1:P1"/>
    <mergeCell ref="B2:B3"/>
    <mergeCell ref="C2:D2"/>
    <mergeCell ref="O2:O3"/>
    <mergeCell ref="B13:H13"/>
    <mergeCell ref="M2:N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1 UNIDADE</vt:lpstr>
      <vt:lpstr>ATÉ 3 UNIDADES</vt:lpstr>
      <vt:lpstr>HAB. EM SÉRIE (4 OU + UN)</vt:lpstr>
      <vt:lpstr>REFORMA E AMPLIAÇÃO</vt:lpstr>
      <vt:lpstr>HAB. COLETIVA (até 2 blocos)</vt:lpstr>
      <vt:lpstr>CJ. HAB. COLETIVA (3 ou + bl)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de Morais Monteiro</dc:creator>
  <cp:lastModifiedBy>Elaine Cristina Zanon</cp:lastModifiedBy>
  <dcterms:created xsi:type="dcterms:W3CDTF">2019-09-05T18:45:58Z</dcterms:created>
  <dcterms:modified xsi:type="dcterms:W3CDTF">2020-08-12T20:40:49Z</dcterms:modified>
</cp:coreProperties>
</file>