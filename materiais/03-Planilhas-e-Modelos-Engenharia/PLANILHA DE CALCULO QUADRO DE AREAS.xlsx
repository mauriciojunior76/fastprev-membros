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F01624-4934-4970-83B9-2E515132B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DRO DE AREAS" sheetId="1" r:id="rId1"/>
    <sheet name="PARA IMPRESSÃO" sheetId="3" r:id="rId2"/>
    <sheet name="Planilha1" sheetId="4" r:id="rId3"/>
    <sheet name="RAMPA" sheetId="2" r:id="rId4"/>
  </sheets>
  <definedNames>
    <definedName name="_xlnm.Print_Area" localSheetId="0">'QUADRO DE AREAS'!$A$1:$F$30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1" l="1"/>
  <c r="C20" i="3"/>
  <c r="B20" i="3"/>
  <c r="D19" i="3"/>
  <c r="D18" i="3"/>
  <c r="D17" i="3"/>
  <c r="D16" i="3"/>
  <c r="D17" i="1"/>
  <c r="C15" i="4"/>
  <c r="B15" i="4"/>
  <c r="D13" i="4"/>
  <c r="D12" i="4"/>
  <c r="D11" i="4"/>
  <c r="D10" i="4"/>
  <c r="D15" i="4" s="1"/>
  <c r="A49" i="1" a="1"/>
  <c r="A49" i="1" s="1"/>
  <c r="A50" i="1" a="1"/>
  <c r="A50" i="1" s="1"/>
  <c r="A51" i="1"/>
  <c r="A53" i="1" a="1"/>
  <c r="A53" i="1" s="1"/>
  <c r="D19" i="1"/>
  <c r="D18" i="1"/>
  <c r="D16" i="1"/>
  <c r="D21" i="1"/>
  <c r="D20" i="1"/>
  <c r="B4" i="2"/>
  <c r="C3" i="2"/>
  <c r="D2" i="2"/>
  <c r="C23" i="1"/>
  <c r="B23" i="1"/>
  <c r="D20" i="3" l="1"/>
  <c r="E19" i="3" s="1"/>
  <c r="E10" i="4"/>
  <c r="E11" i="4"/>
  <c r="D23" i="1"/>
  <c r="E17" i="1" s="1"/>
  <c r="E15" i="3" l="1"/>
  <c r="E17" i="3"/>
  <c r="E18" i="3"/>
  <c r="E16" i="3"/>
  <c r="E20" i="3"/>
  <c r="F19" i="3" s="1"/>
  <c r="E15" i="4"/>
  <c r="F11" i="4" s="1"/>
  <c r="E19" i="1"/>
  <c r="E16" i="1"/>
  <c r="E18" i="1"/>
  <c r="E15" i="1"/>
  <c r="F15" i="3" l="1"/>
  <c r="F18" i="3"/>
  <c r="F16" i="3"/>
  <c r="F17" i="3"/>
  <c r="F10" i="4"/>
  <c r="F15" i="4" s="1"/>
  <c r="E23" i="1"/>
  <c r="F20" i="3" l="1"/>
  <c r="F19" i="1"/>
  <c r="F17" i="1"/>
  <c r="F15" i="1"/>
  <c r="F16" i="1"/>
  <c r="F18" i="1"/>
  <c r="F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<sst xmlns="http://schemas.openxmlformats.org/spreadsheetml/2006/main" count="86" uniqueCount="53">
  <si>
    <t>Unidade</t>
  </si>
  <si>
    <t>Área Privativa (m²)</t>
  </si>
  <si>
    <t>Área Comum (m²)</t>
  </si>
  <si>
    <t>Área Bruta (m²)</t>
  </si>
  <si>
    <t>Fração de Terreno (m²)</t>
  </si>
  <si>
    <t>% do Terreno</t>
  </si>
  <si>
    <t>Total</t>
  </si>
  <si>
    <t>Área Bruta = Área Privativa + Área Comum</t>
  </si>
  <si>
    <t>Fração Terreno = (Área Bruta da unidade ÷ Total Área Bruta) × Terreno Total</t>
  </si>
  <si>
    <t>% Terreno = (Fração de Terreno ÷ Terreno Total) × 100</t>
  </si>
  <si>
    <t>18,99% = (69,33 ÷ 365,00) × 100</t>
  </si>
  <si>
    <t>QUADRO DE ÁREAS</t>
  </si>
  <si>
    <t>TOTAL CONST.</t>
  </si>
  <si>
    <t>TESTADA.</t>
  </si>
  <si>
    <t>TERRENO.</t>
  </si>
  <si>
    <t>ÁREA COMUM.</t>
  </si>
  <si>
    <t>CASA 01</t>
  </si>
  <si>
    <t>TIPO DE CALCULO</t>
  </si>
  <si>
    <t>ALTURA(H)</t>
  </si>
  <si>
    <t>COMPRIMENTO C(M)</t>
  </si>
  <si>
    <t>INCLINAÇÃO I(%)</t>
  </si>
  <si>
    <t>CALCULAR COMPRIMENTO</t>
  </si>
  <si>
    <t>CALCULAR ALTURA</t>
  </si>
  <si>
    <t>OBS: BASE DA FORMULA</t>
  </si>
  <si>
    <t>CALCULAR INCLINAÇÃO</t>
  </si>
  <si>
    <t>I=H*100/C</t>
  </si>
  <si>
    <t>C=H*100/I</t>
  </si>
  <si>
    <t>H=I*C/100</t>
  </si>
  <si>
    <t>COMERCIO</t>
  </si>
  <si>
    <t>LOCAL: RUA DOUTOR NEWTON CLASSEM  Q 23 - LOTE 22 - PARQ. DAS BANDEIRAS - SÃO VICENTE</t>
  </si>
  <si>
    <t>SÃO VICENTE 27 DE NOVEMBRO DE 2025</t>
  </si>
  <si>
    <t>____________________________________________________________</t>
  </si>
  <si>
    <t>JOSE MAURICIO DE MELO JUNIOR</t>
  </si>
  <si>
    <t>CRT: 25703252873</t>
  </si>
  <si>
    <t>ÁREA BRUTA - ÁREA PRIVATIVA + ÁREA COMUM</t>
  </si>
  <si>
    <t>TITULO: PROJETO DE REGULARIZAÇÃO IMÓVEL RESIDENCIAL</t>
  </si>
  <si>
    <t>CASA 02</t>
  </si>
  <si>
    <t>SEÇÃO PARA IPTU PROPORCIONAL:</t>
  </si>
  <si>
    <t>Campo para inserir Valor Venal do Terreno (R$): [INSIRA O VALOR]</t>
  </si>
  <si>
    <t>Campo para inserir Alíquota do IPTU (%): [INSIRA A ALÍQUOTA</t>
  </si>
  <si>
    <t>Cálculo do IPTU proporcional por casa: (Fração Ideal / 330</t>
  </si>
  <si>
    <t>- IPTU anual Casa 01: [(Fração Casa 01 / 330) * Valor Venal * (Alíquota / 100)]</t>
  </si>
  <si>
    <t>- IPTU anual Casa 02: [(Fração Casa 02 / 330) * Valor Venal * (Alíquota / 100)]</t>
  </si>
  <si>
    <t>- IPTU anual Casa 03: [(Fração Casa 03 / 330) * Valor Venal * (Alíquota / 100)]</t>
  </si>
  <si>
    <t>INSTRUÇÕES DE USO:</t>
  </si>
  <si>
    <t>- Formatação: 2 casas decimais para áreas e porcentagens.</t>
  </si>
  <si>
    <t>ADRIANA COELHO DA LUZ CASA 01</t>
  </si>
  <si>
    <t>SÃO VICENTE 30 DE JUNHO DE 2026</t>
  </si>
  <si>
    <t xml:space="preserve">PROPRIETARIOS:  EMERSON MANZO CASA 02 </t>
  </si>
  <si>
    <t>LOCAL: RUA NADIM GANNOUM Q 08N - LOTE 16PT - PARQUE SÃO VICENTE - SÃO VICENTE</t>
  </si>
  <si>
    <t>LOCAL: RUA SALVELINA CAPISTANO SILVA QUADRA - O - LOTE 02PT - VILA NOVA SÃO VICENTE - SÃO VICENTE</t>
  </si>
  <si>
    <t>PROPRIETARIO:  ANTONIO HERCULANO SALES NETO CASA 01 E 02</t>
  </si>
  <si>
    <t>SÃO VICENTE 17 DE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</si>
</sst>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B3C3D"/>
      <name val="Instrument Sans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3" fillId="0" borderId="1" xfId="0" applyNumberFormat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4" fillId="0" borderId="0" xfId="1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4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3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I26" sqref="I26"/>
    </sheetView>
  </sheetViews>
  <sheetFormatPr defaultRowHeight="15.75"/>
  <cols>
    <col min="1" max="1" width="17.625" style="1" customWidth="1"/>
    <col min="2" max="2" width="19.625" style="1" customWidth="1"/>
    <col min="3" max="3" width="16" style="1" customWidth="1"/>
    <col min="4" max="4" width="17.625" style="1" customWidth="1"/>
    <col min="5" max="5" width="22.5" style="1" customWidth="1"/>
    <col min="6" max="6" width="18.875" style="1" customWidth="1"/>
  </cols>
  <sheetData>
    <row r="1" spans="1:7" ht="18.75">
      <c r="A1" s="36" t="s">
        <v>11</v>
      </c>
      <c r="B1" s="36"/>
      <c r="C1" s="36"/>
      <c r="D1" s="36"/>
      <c r="E1" s="36"/>
      <c r="F1" s="36"/>
      <c r="G1" s="3"/>
    </row>
    <row r="2" spans="1:7">
      <c r="A2" s="4"/>
      <c r="B2" s="4"/>
      <c r="C2" s="4"/>
      <c r="D2" s="4"/>
      <c r="E2" s="4"/>
      <c r="F2" s="4"/>
      <c r="G2" s="3"/>
    </row>
    <row r="3" spans="1:7">
      <c r="A3" s="5" t="s">
        <v>35</v>
      </c>
      <c r="B3" s="4"/>
      <c r="C3" s="4"/>
      <c r="D3" s="4"/>
      <c r="E3" s="4"/>
      <c r="F3" s="4"/>
      <c r="G3" s="3"/>
    </row>
    <row r="4" spans="1:7">
      <c r="A4" s="5" t="s">
        <v>51</v>
      </c>
      <c r="B4" s="4"/>
      <c r="C4" s="4"/>
      <c r="D4" s="4"/>
      <c r="E4" s="4"/>
      <c r="F4" s="4"/>
      <c r="G4" s="3"/>
    </row>
    <row r="5" spans="1:7">
      <c r="A5" s="5"/>
      <c r="B5" s="4"/>
      <c r="C5" s="4"/>
      <c r="D5" s="4"/>
      <c r="E5" s="4"/>
      <c r="F5" s="4"/>
      <c r="G5" s="3"/>
    </row>
    <row r="6" spans="1:7">
      <c r="A6" s="4"/>
      <c r="B6" s="4"/>
      <c r="C6" s="4"/>
      <c r="D6" s="4"/>
      <c r="E6" s="4"/>
      <c r="F6" s="4"/>
      <c r="G6" s="3"/>
    </row>
    <row r="7" spans="1:7">
      <c r="A7" s="5" t="s">
        <v>50</v>
      </c>
      <c r="B7" s="4"/>
      <c r="C7" s="4"/>
      <c r="D7" s="4"/>
      <c r="E7" s="4"/>
      <c r="F7" s="4"/>
      <c r="G7" s="3"/>
    </row>
    <row r="8" spans="1:7">
      <c r="A8" s="4"/>
      <c r="B8" s="4"/>
      <c r="C8" s="4"/>
      <c r="D8" s="4"/>
      <c r="E8" s="4"/>
      <c r="F8" s="4"/>
      <c r="G8" s="3"/>
    </row>
    <row r="9" spans="1:7">
      <c r="A9" s="6" t="s">
        <v>12</v>
      </c>
      <c r="B9" s="27">
        <v>103.9</v>
      </c>
      <c r="C9" s="4"/>
      <c r="D9" s="4"/>
      <c r="E9" s="4"/>
      <c r="F9" s="4"/>
      <c r="G9" s="3"/>
    </row>
    <row r="10" spans="1:7">
      <c r="A10" s="6" t="s">
        <v>13</v>
      </c>
      <c r="B10" s="28">
        <v>5</v>
      </c>
      <c r="C10" s="4"/>
      <c r="D10" s="4"/>
      <c r="E10" s="4"/>
      <c r="F10" s="4"/>
      <c r="G10" s="3"/>
    </row>
    <row r="11" spans="1:7">
      <c r="A11" s="6" t="s">
        <v>14</v>
      </c>
      <c r="B11" s="28">
        <v>125</v>
      </c>
      <c r="C11" s="4"/>
      <c r="D11" s="4"/>
      <c r="E11" s="4"/>
      <c r="F11" s="4"/>
      <c r="G11" s="3"/>
    </row>
    <row r="12" spans="1:7">
      <c r="A12" s="6" t="s">
        <v>15</v>
      </c>
      <c r="B12" s="28">
        <v>0</v>
      </c>
      <c r="C12" s="4"/>
      <c r="D12" s="4"/>
      <c r="E12" s="4"/>
      <c r="F12" s="4"/>
      <c r="G12" s="3"/>
    </row>
    <row r="13" spans="1:7">
      <c r="A13" s="4"/>
      <c r="B13" s="4"/>
      <c r="C13" s="4"/>
      <c r="D13" s="4"/>
      <c r="E13" s="4"/>
      <c r="F13" s="4"/>
      <c r="G13" s="3"/>
    </row>
    <row r="14" spans="1:7">
      <c r="A14" s="24" t="s">
        <v>0</v>
      </c>
      <c r="B14" s="24" t="s">
        <v>1</v>
      </c>
      <c r="C14" s="24" t="s">
        <v>2</v>
      </c>
      <c r="D14" s="24" t="s">
        <v>3</v>
      </c>
      <c r="E14" s="24" t="s">
        <v>4</v>
      </c>
      <c r="F14" s="24" t="s">
        <v>5</v>
      </c>
      <c r="G14" s="3"/>
    </row>
    <row r="15" spans="1:7">
      <c r="A15" s="7" t="s">
        <v>16</v>
      </c>
      <c r="B15" s="7">
        <v>52.05</v>
      </c>
      <c r="C15" s="13">
        <v>0</v>
      </c>
      <c r="D15" s="28">
        <f>SUM(B15+C15)</f>
        <v>52.05</v>
      </c>
      <c r="E15" s="26">
        <f>(D15/D23)*B11</f>
        <v>62.620307988450435</v>
      </c>
      <c r="F15" s="26">
        <f>(E15/E23)*100</f>
        <v>50.096246390760349</v>
      </c>
      <c r="G15" s="3"/>
    </row>
    <row r="16" spans="1:7">
      <c r="A16" s="7" t="s">
        <v>36</v>
      </c>
      <c r="B16" s="13">
        <v>51.85</v>
      </c>
      <c r="C16" s="13">
        <v>0</v>
      </c>
      <c r="D16" s="28">
        <f>SUM(B16+C16)</f>
        <v>51.85</v>
      </c>
      <c r="E16" s="26">
        <f>(D16/D23)*B11</f>
        <v>62.379692011549565</v>
      </c>
      <c r="F16" s="26">
        <f>(E16/E23)*100</f>
        <v>49.903753609239651</v>
      </c>
      <c r="G16" s="3"/>
    </row>
    <row r="17" spans="1:7">
      <c r="A17" s="7">
        <v>0</v>
      </c>
      <c r="B17" s="13">
        <v>0</v>
      </c>
      <c r="C17" s="13">
        <v>0</v>
      </c>
      <c r="D17" s="28">
        <f>SUM(B17+C17)</f>
        <v>0</v>
      </c>
      <c r="E17" s="26">
        <f>(D17/D23)*B11</f>
        <v>0</v>
      </c>
      <c r="F17" s="26">
        <f>(E17/E23)*100</f>
        <v>0</v>
      </c>
      <c r="G17" s="3"/>
    </row>
    <row r="18" spans="1:7">
      <c r="A18" s="7">
        <v>0</v>
      </c>
      <c r="B18" s="13">
        <v>0</v>
      </c>
      <c r="C18" s="13">
        <v>0</v>
      </c>
      <c r="D18" s="28">
        <f>SUM(B18+C18)</f>
        <v>0</v>
      </c>
      <c r="E18" s="26">
        <f>(D18/D23)*B11</f>
        <v>0</v>
      </c>
      <c r="F18" s="26">
        <f>(E18/E23)*100</f>
        <v>0</v>
      </c>
      <c r="G18" s="3"/>
    </row>
    <row r="19" spans="1:7">
      <c r="A19" s="7">
        <v>0</v>
      </c>
      <c r="B19" s="13">
        <v>0</v>
      </c>
      <c r="C19" s="13">
        <v>0</v>
      </c>
      <c r="D19" s="28">
        <f>SUM(B19+C19)</f>
        <v>0</v>
      </c>
      <c r="E19" s="26">
        <f>(D19/D23)*B11</f>
        <v>0</v>
      </c>
      <c r="F19" s="26">
        <f>(E19/E23)*100</f>
        <v>0</v>
      </c>
      <c r="G19" s="3"/>
    </row>
    <row r="20" spans="1:7">
      <c r="A20" s="7"/>
      <c r="B20" s="7"/>
      <c r="C20" s="13"/>
      <c r="D20" s="28">
        <f t="shared" ref="D20:D21" si="0">SUM(B20:C20)</f>
        <v>0</v>
      </c>
      <c r="E20" s="26"/>
      <c r="F20" s="26"/>
      <c r="G20" s="3"/>
    </row>
    <row r="21" spans="1:7">
      <c r="A21" s="7"/>
      <c r="B21" s="7"/>
      <c r="C21" s="13"/>
      <c r="D21" s="28">
        <f t="shared" si="0"/>
        <v>0</v>
      </c>
      <c r="E21" s="26"/>
      <c r="F21" s="26"/>
      <c r="G21" s="3"/>
    </row>
    <row r="22" spans="1:7">
      <c r="A22" s="7"/>
      <c r="B22" s="7"/>
      <c r="C22" s="7"/>
      <c r="D22" s="7"/>
      <c r="E22" s="8"/>
      <c r="F22" s="12"/>
      <c r="G22" s="3"/>
    </row>
    <row r="23" spans="1:7">
      <c r="A23" s="10" t="s">
        <v>6</v>
      </c>
      <c r="B23" s="10">
        <f>SUM(B15:B22)</f>
        <v>103.9</v>
      </c>
      <c r="C23" s="23">
        <f>SUM(C15:C22)</f>
        <v>0</v>
      </c>
      <c r="D23" s="10">
        <f>SUM(D15:D22)</f>
        <v>103.9</v>
      </c>
      <c r="E23" s="14">
        <f>SUM(E15:E22)</f>
        <v>125</v>
      </c>
      <c r="F23" s="11">
        <f>SUM(F15:F22)</f>
        <v>100</v>
      </c>
      <c r="G23" s="3"/>
    </row>
    <row r="24" spans="1:7">
      <c r="A24" s="29"/>
      <c r="B24" s="29"/>
      <c r="C24" s="30"/>
      <c r="D24" s="29"/>
      <c r="E24" s="31"/>
      <c r="F24" s="32"/>
      <c r="G24" s="3"/>
    </row>
    <row r="25" spans="1:7">
      <c r="A25" s="37" t="s">
        <v>52</v>
      </c>
      <c r="B25" s="37"/>
      <c r="C25" s="37"/>
      <c r="D25" s="37"/>
      <c r="E25" s="37"/>
      <c r="F25" s="32"/>
      <c r="G25" s="3"/>
    </row>
    <row r="26" spans="1:7">
      <c r="A26" s="33"/>
      <c r="B26" s="33"/>
      <c r="C26" s="33"/>
      <c r="D26" s="33"/>
      <c r="E26" s="33"/>
      <c r="F26" s="4"/>
      <c r="G26" s="3"/>
    </row>
    <row r="27" spans="1:7">
      <c r="A27"/>
      <c r="B27"/>
      <c r="C27"/>
      <c r="D27"/>
      <c r="E27"/>
      <c r="F27" s="4"/>
      <c r="G27" s="3"/>
    </row>
    <row r="28" spans="1:7">
      <c r="A28"/>
      <c r="B28"/>
      <c r="C28" s="1" t="s">
        <v>31</v>
      </c>
      <c r="F28" s="4"/>
      <c r="G28" s="3"/>
    </row>
    <row r="29" spans="1:7">
      <c r="A29"/>
      <c r="B29"/>
      <c r="C29" s="1" t="s">
        <v>32</v>
      </c>
      <c r="F29" s="4"/>
      <c r="G29" s="3"/>
    </row>
    <row r="30" spans="1:7">
      <c r="A30"/>
      <c r="B30"/>
      <c r="C30" s="1" t="s">
        <v>33</v>
      </c>
      <c r="F30" s="4"/>
      <c r="G30" s="3"/>
    </row>
    <row r="31" spans="1:7">
      <c r="A31"/>
      <c r="B31"/>
      <c r="F31" s="4"/>
      <c r="G31" s="3"/>
    </row>
    <row r="32" spans="1:7">
      <c r="A32" s="2" t="s">
        <v>9</v>
      </c>
      <c r="B32" s="4"/>
      <c r="C32" s="4"/>
      <c r="D32" s="4"/>
      <c r="E32" s="4"/>
      <c r="F32" s="4"/>
      <c r="G32" s="3"/>
    </row>
    <row r="33" spans="1:5">
      <c r="A33" s="2"/>
      <c r="E33" s="1" t="s">
        <v>34</v>
      </c>
    </row>
    <row r="34" spans="1:5">
      <c r="A34" s="9" t="s">
        <v>10</v>
      </c>
    </row>
    <row r="36" spans="1:5">
      <c r="A36" s="2" t="s">
        <v>7</v>
      </c>
    </row>
    <row r="37" spans="1:5">
      <c r="A37" s="2"/>
    </row>
    <row r="38" spans="1:5">
      <c r="A38" s="2" t="s">
        <v>8</v>
      </c>
    </row>
    <row r="39" spans="1:5">
      <c r="A39" s="2"/>
    </row>
    <row r="40" spans="1:5">
      <c r="A40" s="2" t="s">
        <v>37</v>
      </c>
    </row>
    <row r="41" spans="1:5">
      <c r="A41" s="1" t="s">
        <v>38</v>
      </c>
    </row>
    <row r="42" spans="1:5">
      <c r="A42" s="1" t="s">
        <v>39</v>
      </c>
    </row>
    <row r="43" spans="1:5">
      <c r="A43" s="1" t="s">
        <v>40</v>
      </c>
    </row>
    <row r="44" spans="1:5">
      <c r="A44" s="1" t="s">
        <v>41</v>
      </c>
    </row>
    <row r="45" spans="1:5">
      <c r="A45" s="1" t="s">
        <v>42</v>
      </c>
    </row>
    <row r="46" spans="1:5">
      <c r="A46" s="1" t="s">
        <v>43</v>
      </c>
    </row>
    <row r="48" spans="1:5">
      <c r="A48" s="1" t="s">
        <v>44</v>
      </c>
    </row>
    <row r="49" spans="1:1">
      <c r="A49" s="1" t="e" cm="1">
        <f t="array" ref="A49">- Em Excel</f>
        <v>#NAME?</v>
      </c>
    </row>
    <row r="50" spans="1:1">
      <c r="A50" s="1" t="e" cm="1">
        <f t="array" ref="A50">- Células Em cinza claro para cálculos automáticos.</f>
        <v>#NAME?</v>
      </c>
    </row>
    <row r="51" spans="1:1">
      <c r="A51" s="1" t="e">
        <f>- Bordas para todas as Células de dados, negrito para totais e títulos.</f>
        <v>#NAME?</v>
      </c>
    </row>
    <row r="52" spans="1:1">
      <c r="A52" s="1" t="s">
        <v>45</v>
      </c>
    </row>
    <row r="53" spans="1:1">
      <c r="A53" s="1" t="e" cm="1">
        <f t="array" ref="A53">- Nota explicativa: Fórmulas - Área Bruta = Área Privativa + Área Comum, Fração Ideal = (Área Bruta / SUM(Áreas Brutas)) * 330</f>
        <v>#NAME?</v>
      </c>
    </row>
  </sheetData>
  <mergeCells count="2">
    <mergeCell ref="A1:F1"/>
    <mergeCell ref="A25:E25"/>
  </mergeCells>
  <phoneticPr fontId="8" type="noConversion"/>
  <pageMargins left="0.511811024" right="0.511811024" top="0.78740157499999996" bottom="0.78740157499999996" header="0.31496062000000002" footer="0.31496062000000002"/>
  <pageSetup paperSize="9" orientation="landscape" r:id="rId1"/>
  <ignoredErrors>
    <ignoredError sqref="A14:F14 A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228F-F720-45E8-A4C7-9E00ADA5095A}">
  <dimension ref="A1:F29"/>
  <sheetViews>
    <sheetView workbookViewId="0">
      <selection activeCell="I18" sqref="I18"/>
    </sheetView>
  </sheetViews>
  <sheetFormatPr defaultRowHeight="15.75"/>
  <cols>
    <col min="1" max="1" width="23.875" customWidth="1"/>
    <col min="2" max="2" width="16.75" customWidth="1"/>
    <col min="3" max="3" width="16.875" customWidth="1"/>
    <col min="4" max="4" width="19.75" customWidth="1"/>
    <col min="5" max="5" width="23" customWidth="1"/>
    <col min="6" max="6" width="15.875" customWidth="1"/>
  </cols>
  <sheetData>
    <row r="1" spans="1:6" ht="18.75">
      <c r="A1" s="36" t="s">
        <v>11</v>
      </c>
      <c r="B1" s="36"/>
      <c r="C1" s="36"/>
      <c r="D1" s="36"/>
      <c r="E1" s="36"/>
      <c r="F1" s="36"/>
    </row>
    <row r="2" spans="1:6">
      <c r="A2" s="4"/>
      <c r="B2" s="4"/>
      <c r="C2" s="4"/>
      <c r="D2" s="4"/>
      <c r="E2" s="4"/>
      <c r="F2" s="4"/>
    </row>
    <row r="3" spans="1:6">
      <c r="A3" s="5" t="s">
        <v>35</v>
      </c>
      <c r="B3" s="4"/>
      <c r="C3" s="4"/>
      <c r="D3" s="4"/>
      <c r="E3" s="4"/>
      <c r="F3" s="4"/>
    </row>
    <row r="4" spans="1:6">
      <c r="A4" s="5" t="s">
        <v>48</v>
      </c>
      <c r="B4" s="4"/>
      <c r="C4" s="4"/>
      <c r="D4" s="4"/>
      <c r="E4" s="4"/>
      <c r="F4" s="4"/>
    </row>
    <row r="5" spans="1:6">
      <c r="A5" s="5" t="s">
        <v>46</v>
      </c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5" t="s">
        <v>49</v>
      </c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6" t="s">
        <v>12</v>
      </c>
      <c r="B9" s="27">
        <v>183.4</v>
      </c>
      <c r="C9" s="4"/>
      <c r="D9" s="4"/>
      <c r="E9" s="4"/>
      <c r="F9" s="4"/>
    </row>
    <row r="10" spans="1:6">
      <c r="A10" s="6" t="s">
        <v>13</v>
      </c>
      <c r="B10" s="28">
        <v>13</v>
      </c>
      <c r="C10" s="4"/>
      <c r="D10" s="4"/>
      <c r="E10" s="4"/>
      <c r="F10" s="4"/>
    </row>
    <row r="11" spans="1:6">
      <c r="A11" s="6" t="s">
        <v>14</v>
      </c>
      <c r="B11" s="28">
        <v>140</v>
      </c>
      <c r="C11" s="4"/>
      <c r="D11" s="4"/>
      <c r="E11" s="4"/>
      <c r="F11" s="4"/>
    </row>
    <row r="12" spans="1:6">
      <c r="A12" s="6" t="s">
        <v>15</v>
      </c>
      <c r="B12" s="28">
        <v>0</v>
      </c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24" t="s">
        <v>0</v>
      </c>
      <c r="B14" s="24" t="s">
        <v>1</v>
      </c>
      <c r="C14" s="24" t="s">
        <v>2</v>
      </c>
      <c r="D14" s="24" t="s">
        <v>3</v>
      </c>
      <c r="E14" s="24" t="s">
        <v>4</v>
      </c>
      <c r="F14" s="24" t="s">
        <v>5</v>
      </c>
    </row>
    <row r="15" spans="1:6">
      <c r="A15" s="7" t="s">
        <v>16</v>
      </c>
      <c r="B15" s="7">
        <v>80.69</v>
      </c>
      <c r="C15" s="13">
        <v>0</v>
      </c>
      <c r="D15" s="25">
        <v>80.69</v>
      </c>
      <c r="E15" s="26">
        <f>(D15/D20)*B11</f>
        <v>61.595419847328252</v>
      </c>
      <c r="F15" s="26">
        <f>(E15/E20)*100</f>
        <v>43.996728462377312</v>
      </c>
    </row>
    <row r="16" spans="1:6">
      <c r="A16" s="7" t="s">
        <v>36</v>
      </c>
      <c r="B16" s="13">
        <v>102.71</v>
      </c>
      <c r="C16" s="13">
        <v>0</v>
      </c>
      <c r="D16" s="28">
        <f>SUM(B16+C16)</f>
        <v>102.71</v>
      </c>
      <c r="E16" s="26">
        <f>(D16/D20)*B11</f>
        <v>78.40458015267177</v>
      </c>
      <c r="F16" s="26">
        <f>(E16/E20)*100</f>
        <v>56.00327153762268</v>
      </c>
    </row>
    <row r="17" spans="1:6">
      <c r="A17" s="7">
        <v>0</v>
      </c>
      <c r="B17" s="13">
        <v>0</v>
      </c>
      <c r="C17" s="13">
        <v>0</v>
      </c>
      <c r="D17" s="28">
        <f>SUM(B17+C17)</f>
        <v>0</v>
      </c>
      <c r="E17" s="26">
        <f>(D17/D20)*B11</f>
        <v>0</v>
      </c>
      <c r="F17" s="26">
        <f>(E17/E20)*100</f>
        <v>0</v>
      </c>
    </row>
    <row r="18" spans="1:6">
      <c r="A18" s="7">
        <v>0</v>
      </c>
      <c r="B18" s="13">
        <v>0</v>
      </c>
      <c r="C18" s="13">
        <v>0</v>
      </c>
      <c r="D18" s="28">
        <f>SUM(B18+C18)</f>
        <v>0</v>
      </c>
      <c r="E18" s="26">
        <f>(D18/D20)*B11</f>
        <v>0</v>
      </c>
      <c r="F18" s="26">
        <f>(E18/E20)*100</f>
        <v>0</v>
      </c>
    </row>
    <row r="19" spans="1:6">
      <c r="A19" s="7">
        <v>0</v>
      </c>
      <c r="B19" s="13">
        <v>0</v>
      </c>
      <c r="C19" s="13">
        <v>0</v>
      </c>
      <c r="D19" s="28">
        <f>SUM(B19+C19)</f>
        <v>0</v>
      </c>
      <c r="E19" s="26">
        <f>(D19/D20)*B11</f>
        <v>0</v>
      </c>
      <c r="F19" s="26">
        <f>(E19/E20)*100</f>
        <v>0</v>
      </c>
    </row>
    <row r="20" spans="1:6">
      <c r="A20" s="10" t="s">
        <v>6</v>
      </c>
      <c r="B20" s="10">
        <f>SUM(B15:B19)</f>
        <v>183.39999999999998</v>
      </c>
      <c r="C20" s="23">
        <f>SUM(C15:C19)</f>
        <v>0</v>
      </c>
      <c r="D20" s="10">
        <f>SUM(D15:D19)</f>
        <v>183.39999999999998</v>
      </c>
      <c r="E20" s="14">
        <f>SUM(E15:E19)</f>
        <v>140.00000000000003</v>
      </c>
      <c r="F20" s="11">
        <f>SUM(F15:F19)</f>
        <v>100</v>
      </c>
    </row>
    <row r="21" spans="1:6">
      <c r="A21" s="29"/>
      <c r="B21" s="29"/>
      <c r="C21" s="30"/>
      <c r="D21" s="29"/>
      <c r="E21" s="31"/>
      <c r="F21" s="32"/>
    </row>
    <row r="22" spans="1:6">
      <c r="A22" s="37" t="s">
        <v>47</v>
      </c>
      <c r="B22" s="37"/>
      <c r="C22" s="37"/>
      <c r="D22" s="37"/>
      <c r="E22" s="37"/>
      <c r="F22" s="32"/>
    </row>
    <row r="23" spans="1:6">
      <c r="A23" s="35"/>
      <c r="B23" s="35"/>
      <c r="C23" s="35"/>
      <c r="D23" s="35"/>
      <c r="E23" s="35"/>
      <c r="F23" s="32"/>
    </row>
    <row r="24" spans="1:6">
      <c r="A24" s="35"/>
      <c r="B24" s="35"/>
      <c r="C24" s="35"/>
      <c r="D24" s="35"/>
      <c r="E24" s="35"/>
      <c r="F24" s="32"/>
    </row>
    <row r="25" spans="1:6">
      <c r="A25" s="35"/>
      <c r="B25" s="35"/>
      <c r="C25" s="35"/>
      <c r="D25" s="35"/>
      <c r="E25" s="35"/>
      <c r="F25" s="32"/>
    </row>
    <row r="27" spans="1:6">
      <c r="C27" s="1" t="s">
        <v>31</v>
      </c>
      <c r="D27" s="1"/>
      <c r="E27" s="1"/>
    </row>
    <row r="28" spans="1:6">
      <c r="C28" s="1" t="s">
        <v>32</v>
      </c>
      <c r="D28" s="1"/>
      <c r="E28" s="1"/>
    </row>
    <row r="29" spans="1:6">
      <c r="C29" s="1" t="s">
        <v>33</v>
      </c>
      <c r="D29" s="1"/>
      <c r="E29" s="1"/>
    </row>
  </sheetData>
  <mergeCells count="2">
    <mergeCell ref="A1:F1"/>
    <mergeCell ref="A22:E2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7FBC-19CC-4C88-BA6D-DFB7B76750CB}">
  <dimension ref="A1:F27"/>
  <sheetViews>
    <sheetView workbookViewId="0">
      <selection activeCell="E29" sqref="E29"/>
    </sheetView>
  </sheetViews>
  <sheetFormatPr defaultRowHeight="15.75"/>
  <cols>
    <col min="1" max="1" width="28.875" customWidth="1"/>
    <col min="2" max="2" width="23.625" customWidth="1"/>
    <col min="3" max="3" width="20.25" customWidth="1"/>
    <col min="4" max="4" width="19.5" customWidth="1"/>
    <col min="5" max="5" width="23.75" customWidth="1"/>
    <col min="6" max="6" width="24.5" customWidth="1"/>
  </cols>
  <sheetData>
    <row r="1" spans="1:6">
      <c r="A1" s="4"/>
      <c r="B1" s="4"/>
      <c r="C1" s="4"/>
      <c r="D1" s="4"/>
      <c r="E1" s="4"/>
      <c r="F1" s="4"/>
    </row>
    <row r="2" spans="1:6">
      <c r="A2" s="5" t="s">
        <v>29</v>
      </c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6" t="s">
        <v>12</v>
      </c>
      <c r="B4" s="27">
        <v>223.79</v>
      </c>
      <c r="C4" s="4"/>
      <c r="D4" s="4"/>
      <c r="E4" s="4"/>
      <c r="F4" s="4"/>
    </row>
    <row r="5" spans="1:6">
      <c r="A5" s="6" t="s">
        <v>13</v>
      </c>
      <c r="B5" s="28">
        <v>26</v>
      </c>
      <c r="C5" s="4"/>
      <c r="D5" s="4"/>
      <c r="E5" s="4"/>
      <c r="F5" s="4"/>
    </row>
    <row r="6" spans="1:6">
      <c r="A6" s="6" t="s">
        <v>14</v>
      </c>
      <c r="B6" s="28">
        <v>275</v>
      </c>
      <c r="C6" s="4"/>
      <c r="D6" s="4"/>
      <c r="E6" s="4"/>
      <c r="F6" s="4"/>
    </row>
    <row r="7" spans="1:6">
      <c r="A7" s="6" t="s">
        <v>15</v>
      </c>
      <c r="B7" s="28">
        <v>83.64</v>
      </c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24" t="s">
        <v>0</v>
      </c>
      <c r="B9" s="24" t="s">
        <v>1</v>
      </c>
      <c r="C9" s="24" t="s">
        <v>2</v>
      </c>
      <c r="D9" s="24" t="s">
        <v>3</v>
      </c>
      <c r="E9" s="24" t="s">
        <v>4</v>
      </c>
      <c r="F9" s="24" t="s">
        <v>5</v>
      </c>
    </row>
    <row r="10" spans="1:6">
      <c r="A10" s="7" t="s">
        <v>16</v>
      </c>
      <c r="B10" s="7">
        <v>123.79</v>
      </c>
      <c r="C10" s="7">
        <v>0</v>
      </c>
      <c r="D10" s="25">
        <f>SUM(B10:C10)</f>
        <v>123.79</v>
      </c>
      <c r="E10" s="26">
        <f>(D10/D15)*B6</f>
        <v>152.11693998838194</v>
      </c>
      <c r="F10" s="26">
        <f>(E10/E15)*100</f>
        <v>55.315250904866176</v>
      </c>
    </row>
    <row r="11" spans="1:6">
      <c r="A11" s="7" t="s">
        <v>28</v>
      </c>
      <c r="B11" s="13">
        <v>100</v>
      </c>
      <c r="C11" s="7">
        <v>0</v>
      </c>
      <c r="D11" s="25">
        <f>SUM(B11:C11)</f>
        <v>100</v>
      </c>
      <c r="E11" s="26">
        <f>(D11/D15)*B6</f>
        <v>122.88306001161801</v>
      </c>
      <c r="F11" s="26">
        <f>(E11/E15)*100</f>
        <v>44.684749095133832</v>
      </c>
    </row>
    <row r="12" spans="1:6">
      <c r="A12" s="7"/>
      <c r="B12" s="7"/>
      <c r="C12" s="7"/>
      <c r="D12" s="25">
        <f t="shared" ref="D12:D13" si="0">SUM(B12:C12)</f>
        <v>0</v>
      </c>
      <c r="E12" s="26"/>
      <c r="F12" s="26"/>
    </row>
    <row r="13" spans="1:6">
      <c r="A13" s="7"/>
      <c r="B13" s="7"/>
      <c r="C13" s="7"/>
      <c r="D13" s="25">
        <f t="shared" si="0"/>
        <v>0</v>
      </c>
      <c r="E13" s="26"/>
      <c r="F13" s="26"/>
    </row>
    <row r="14" spans="1:6">
      <c r="A14" s="7"/>
      <c r="B14" s="7"/>
      <c r="C14" s="7"/>
      <c r="D14" s="7"/>
      <c r="E14" s="8"/>
      <c r="F14" s="12"/>
    </row>
    <row r="15" spans="1:6">
      <c r="A15" s="10" t="s">
        <v>6</v>
      </c>
      <c r="B15" s="10">
        <f>SUM(B10:B14)</f>
        <v>223.79000000000002</v>
      </c>
      <c r="C15" s="23">
        <f>SUM(C10:C14)</f>
        <v>0</v>
      </c>
      <c r="D15" s="10">
        <f>SUM(D10:D14)</f>
        <v>223.79000000000002</v>
      </c>
      <c r="E15" s="14">
        <f>SUM(E10:E14)</f>
        <v>274.99999999999994</v>
      </c>
      <c r="F15" s="11">
        <f>SUM(F10:F14)</f>
        <v>100</v>
      </c>
    </row>
    <row r="16" spans="1:6">
      <c r="A16" s="29"/>
      <c r="B16" s="29"/>
      <c r="C16" s="30"/>
      <c r="D16" s="29"/>
      <c r="E16" s="31"/>
      <c r="F16" s="32"/>
    </row>
    <row r="17" spans="1:6">
      <c r="A17" s="29"/>
      <c r="B17" s="29"/>
      <c r="C17" s="30"/>
      <c r="D17" s="29"/>
      <c r="E17" s="31"/>
      <c r="F17" s="32"/>
    </row>
    <row r="18" spans="1:6">
      <c r="A18" s="29"/>
      <c r="B18" s="29"/>
      <c r="C18" s="30"/>
      <c r="D18" s="29"/>
      <c r="E18" s="31"/>
      <c r="F18" s="32"/>
    </row>
    <row r="19" spans="1:6">
      <c r="A19" s="37" t="s">
        <v>30</v>
      </c>
      <c r="B19" s="37"/>
      <c r="C19" s="37"/>
      <c r="D19" s="37"/>
      <c r="E19" s="37"/>
      <c r="F19" s="32"/>
    </row>
    <row r="20" spans="1:6">
      <c r="A20" s="34"/>
      <c r="B20" s="34"/>
      <c r="C20" s="34"/>
      <c r="D20" s="34"/>
      <c r="E20" s="34"/>
      <c r="F20" s="32"/>
    </row>
    <row r="21" spans="1:6">
      <c r="A21" s="34"/>
      <c r="B21" s="34"/>
      <c r="C21" s="34"/>
      <c r="D21" s="34"/>
      <c r="E21" s="34"/>
      <c r="F21" s="32"/>
    </row>
    <row r="22" spans="1:6">
      <c r="A22" s="34"/>
      <c r="B22" s="34"/>
      <c r="C22" s="34"/>
      <c r="D22" s="34"/>
      <c r="E22" s="34"/>
      <c r="F22" s="32"/>
    </row>
    <row r="23" spans="1:6">
      <c r="A23" s="34"/>
      <c r="B23" s="34"/>
      <c r="C23" s="34"/>
      <c r="D23" s="34"/>
      <c r="E23" s="34"/>
      <c r="F23" s="32"/>
    </row>
    <row r="25" spans="1:6">
      <c r="C25" s="1" t="s">
        <v>31</v>
      </c>
      <c r="D25" s="1"/>
      <c r="E25" s="1"/>
    </row>
    <row r="26" spans="1:6">
      <c r="C26" s="1" t="s">
        <v>32</v>
      </c>
      <c r="D26" s="1"/>
      <c r="E26" s="1"/>
    </row>
    <row r="27" spans="1:6">
      <c r="C27" s="1" t="s">
        <v>33</v>
      </c>
      <c r="D27" s="1"/>
      <c r="E27" s="1"/>
    </row>
  </sheetData>
  <mergeCells count="1">
    <mergeCell ref="A19:E1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30FF-F997-4AE3-8E48-919450417A1E}">
  <dimension ref="A1:E8"/>
  <sheetViews>
    <sheetView workbookViewId="0">
      <pane ySplit="1" topLeftCell="A2" activePane="bottomLeft" state="frozen"/>
      <selection pane="bottomLeft" activeCell="D25" sqref="D24:D25"/>
    </sheetView>
  </sheetViews>
  <sheetFormatPr defaultRowHeight="15.75"/>
  <cols>
    <col min="1" max="1" width="29.125" style="1" customWidth="1"/>
    <col min="2" max="2" width="16.25" style="18" customWidth="1"/>
    <col min="3" max="3" width="23.25" style="18" customWidth="1"/>
    <col min="4" max="4" width="22.375" style="18" customWidth="1"/>
    <col min="5" max="5" width="36.75" style="1" customWidth="1"/>
  </cols>
  <sheetData>
    <row r="1" spans="1:5">
      <c r="A1" s="10" t="s">
        <v>17</v>
      </c>
      <c r="B1" s="15" t="s">
        <v>18</v>
      </c>
      <c r="C1" s="15" t="s">
        <v>19</v>
      </c>
      <c r="D1" s="15" t="s">
        <v>20</v>
      </c>
      <c r="E1" s="10" t="s">
        <v>23</v>
      </c>
    </row>
    <row r="2" spans="1:5">
      <c r="A2" s="10" t="s">
        <v>24</v>
      </c>
      <c r="B2" s="16">
        <v>1.26</v>
      </c>
      <c r="C2" s="16">
        <v>12.5</v>
      </c>
      <c r="D2" s="17">
        <f>IF(OR(B2="",C2=""),"",(B2*100)/C2)</f>
        <v>10.08</v>
      </c>
      <c r="E2" s="21" t="s">
        <v>25</v>
      </c>
    </row>
    <row r="3" spans="1:5">
      <c r="A3" s="10" t="s">
        <v>21</v>
      </c>
      <c r="B3" s="16">
        <v>0.5</v>
      </c>
      <c r="C3" s="17">
        <f>IF(OR(B3="",D3=""),"",(B3*100)/D3)</f>
        <v>4</v>
      </c>
      <c r="D3" s="16">
        <v>12.5</v>
      </c>
      <c r="E3" s="10" t="s">
        <v>26</v>
      </c>
    </row>
    <row r="4" spans="1:5">
      <c r="A4" s="10" t="s">
        <v>22</v>
      </c>
      <c r="B4" s="17">
        <f>IF(OR(C4="",D4=""),"",(D4*C4)/100)</f>
        <v>0.49980000000000002</v>
      </c>
      <c r="C4" s="16">
        <v>6</v>
      </c>
      <c r="D4" s="16">
        <v>8.33</v>
      </c>
      <c r="E4" s="10" t="s">
        <v>27</v>
      </c>
    </row>
    <row r="8" spans="1:5">
      <c r="C8" s="19"/>
      <c r="D8" s="20"/>
      <c r="E8" s="2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QUADRO DE AREAS</vt:lpstr>
      <vt:lpstr>PARA IMPRESSÃO</vt:lpstr>
      <vt:lpstr>Planilha1</vt:lpstr>
      <vt:lpstr>RAMPA</vt:lpstr>
      <vt:lpstr>'QUADRO DE AREAS'!Area_de_impressao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2026-07-17T13:54:28Z</cp:lastPrinted>
  <dcterms:created xsi:type="dcterms:W3CDTF">2025-10-28T13:08:33Z</dcterms:created>
  <dcterms:modified xsi:type="dcterms:W3CDTF">2026-08-01T16:48:19Z</dcterms:modified>
</cp:coreProperties>
</file>