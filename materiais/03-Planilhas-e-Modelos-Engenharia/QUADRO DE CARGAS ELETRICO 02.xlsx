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52511"/>
</workbook>
</file>

<file path=xl/calcChain.xml><?xml version="1.0" encoding="utf-8"?>
<calcChain xmlns="http://schemas.openxmlformats.org/spreadsheetml/2006/main">
  <c r="R68" i="1" l="1"/>
  <c r="M68" i="1"/>
  <c r="K68" i="1"/>
  <c r="U65" i="1"/>
  <c r="U68" i="1" s="1"/>
  <c r="T65" i="1"/>
  <c r="T68" i="1" s="1"/>
  <c r="S65" i="1"/>
  <c r="S68" i="1" s="1"/>
  <c r="R65" i="1"/>
  <c r="N65" i="1"/>
  <c r="M65" i="1"/>
  <c r="K65" i="1"/>
  <c r="U64" i="1"/>
  <c r="T64" i="1"/>
  <c r="S64" i="1"/>
  <c r="R64" i="1"/>
  <c r="N64" i="1"/>
  <c r="M64" i="1"/>
  <c r="K64" i="1"/>
  <c r="U63" i="1"/>
  <c r="T63" i="1"/>
  <c r="S63" i="1"/>
  <c r="R63" i="1"/>
  <c r="N63" i="1"/>
  <c r="M63" i="1"/>
  <c r="K63" i="1"/>
  <c r="U62" i="1"/>
  <c r="T62" i="1"/>
  <c r="S62" i="1"/>
  <c r="R62" i="1"/>
  <c r="N62" i="1"/>
  <c r="M62" i="1"/>
  <c r="K62" i="1"/>
  <c r="U61" i="1"/>
  <c r="T61" i="1"/>
  <c r="S61" i="1"/>
  <c r="R61" i="1"/>
  <c r="N61" i="1"/>
  <c r="M61" i="1"/>
  <c r="K61" i="1"/>
  <c r="U60" i="1"/>
  <c r="T60" i="1"/>
  <c r="S60" i="1"/>
  <c r="R60" i="1"/>
  <c r="N60" i="1"/>
  <c r="M60" i="1"/>
  <c r="K60" i="1"/>
  <c r="U59" i="1"/>
  <c r="T59" i="1"/>
  <c r="S59" i="1"/>
  <c r="R59" i="1"/>
  <c r="N59" i="1"/>
  <c r="M59" i="1"/>
  <c r="K59" i="1"/>
  <c r="U58" i="1"/>
  <c r="T58" i="1"/>
  <c r="S58" i="1"/>
  <c r="R58" i="1"/>
  <c r="N58" i="1"/>
  <c r="M58" i="1"/>
  <c r="K58" i="1"/>
  <c r="U53" i="1"/>
  <c r="T53" i="1"/>
  <c r="S53" i="1"/>
  <c r="M53" i="1"/>
  <c r="K53" i="1"/>
  <c r="U50" i="1"/>
  <c r="T50" i="1"/>
  <c r="S50" i="1"/>
  <c r="R50" i="1"/>
  <c r="N50" i="1"/>
  <c r="M50" i="1"/>
  <c r="K50" i="1"/>
  <c r="U49" i="1"/>
  <c r="T49" i="1"/>
  <c r="S49" i="1"/>
  <c r="R49" i="1"/>
  <c r="N49" i="1"/>
  <c r="M49" i="1"/>
  <c r="K49" i="1"/>
  <c r="U48" i="1"/>
  <c r="T48" i="1"/>
  <c r="S48" i="1"/>
  <c r="R48" i="1"/>
  <c r="N48" i="1"/>
  <c r="M48" i="1"/>
  <c r="K48" i="1"/>
  <c r="U47" i="1"/>
  <c r="T47" i="1"/>
  <c r="S47" i="1"/>
  <c r="R47" i="1"/>
  <c r="N47" i="1"/>
  <c r="M47" i="1"/>
  <c r="K47" i="1"/>
  <c r="U46" i="1"/>
  <c r="T46" i="1"/>
  <c r="S46" i="1"/>
  <c r="R46" i="1"/>
  <c r="N46" i="1"/>
  <c r="M46" i="1"/>
  <c r="K46" i="1"/>
  <c r="U45" i="1"/>
  <c r="T45" i="1"/>
  <c r="S45" i="1"/>
  <c r="R45" i="1"/>
  <c r="N45" i="1"/>
  <c r="M45" i="1"/>
  <c r="K45" i="1"/>
  <c r="U44" i="1"/>
  <c r="T44" i="1"/>
  <c r="S44" i="1"/>
  <c r="R44" i="1"/>
  <c r="N44" i="1"/>
  <c r="M44" i="1"/>
  <c r="K44" i="1"/>
  <c r="U43" i="1"/>
  <c r="T43" i="1"/>
  <c r="S43" i="1"/>
  <c r="R43" i="1"/>
  <c r="N43" i="1"/>
  <c r="M43" i="1"/>
  <c r="K43" i="1"/>
  <c r="N38" i="1"/>
  <c r="M38" i="1"/>
  <c r="K38" i="1"/>
  <c r="N31" i="1"/>
  <c r="M31" i="1"/>
  <c r="K31" i="1"/>
  <c r="N30" i="1"/>
  <c r="M30" i="1"/>
  <c r="K30" i="1"/>
  <c r="N25" i="1"/>
  <c r="M25" i="1"/>
  <c r="K25" i="1"/>
  <c r="N19" i="1"/>
  <c r="M19" i="1"/>
  <c r="K19" i="1"/>
  <c r="N18" i="1"/>
  <c r="M18" i="1"/>
  <c r="K18" i="1"/>
  <c r="N17" i="1"/>
  <c r="M17" i="1"/>
  <c r="K17" i="1"/>
  <c r="N12" i="1"/>
  <c r="M12" i="1"/>
  <c r="K12" i="1"/>
  <c r="N6" i="1"/>
  <c r="M6" i="1"/>
  <c r="K6" i="1"/>
  <c r="N5" i="1"/>
  <c r="M5" i="1"/>
  <c r="K5" i="1"/>
  <c r="N4" i="1"/>
  <c r="M4" i="1"/>
  <c r="K4" i="1"/>
  <c r="R53" i="1"/>
</calcChain>
</file>

<file path=xl/sharedStrings.xml><?xml version="1.0" encoding="utf-8"?>
<sst xmlns="http://schemas.openxmlformats.org/spreadsheetml/2006/main" count="248" uniqueCount="49">
  <si>
    <t>CIRCUITO</t>
  </si>
  <si>
    <t>DESCRIÇÃO</t>
  </si>
  <si>
    <t>ILUMINAÇÃO</t>
  </si>
  <si>
    <t>RESERVA</t>
  </si>
  <si>
    <t>TOTAL:</t>
  </si>
  <si>
    <t>ILUMINAÇÃO(W)</t>
  </si>
  <si>
    <t>TOMADAS(W)</t>
  </si>
  <si>
    <t>TOTAL</t>
  </si>
  <si>
    <t>UNIDADE</t>
  </si>
  <si>
    <t>POTÊNCIA</t>
  </si>
  <si>
    <t>ATIVA(W)</t>
  </si>
  <si>
    <t>FATOR</t>
  </si>
  <si>
    <t>DE POTÊNCIA</t>
  </si>
  <si>
    <t>APARENTE</t>
  </si>
  <si>
    <t>CORRENTE</t>
  </si>
  <si>
    <t>DE PROJETO</t>
  </si>
  <si>
    <t>DISJUNTOR</t>
  </si>
  <si>
    <t>A</t>
  </si>
  <si>
    <t>FIO/CABO</t>
  </si>
  <si>
    <t>mm²</t>
  </si>
  <si>
    <t>1x10</t>
  </si>
  <si>
    <t>1X10</t>
  </si>
  <si>
    <t>1X16</t>
  </si>
  <si>
    <t>1F+N #2.5</t>
  </si>
  <si>
    <t>1F+N+ T #2.5</t>
  </si>
  <si>
    <t>1F+N+ T #4.0</t>
  </si>
  <si>
    <t>3F+N+ T #6.0</t>
  </si>
  <si>
    <t>TUE AR COND.</t>
  </si>
  <si>
    <t>QUADRO DE DISTRIBUIÇÃO 1</t>
  </si>
  <si>
    <t xml:space="preserve">TUG </t>
  </si>
  <si>
    <t>FASE</t>
  </si>
  <si>
    <t>QUADRO DE DISTRIBUIÇÃO 2</t>
  </si>
  <si>
    <t>MOTOR PORTÃO</t>
  </si>
  <si>
    <t>QUADRO DE DISTRIBUIÇÃO 3</t>
  </si>
  <si>
    <t>FASES</t>
  </si>
  <si>
    <t>B</t>
  </si>
  <si>
    <t>C</t>
  </si>
  <si>
    <t>ABC</t>
  </si>
  <si>
    <t>A B C</t>
  </si>
  <si>
    <t>(W)</t>
  </si>
  <si>
    <t>QUADRO DE DISTRIBUIÇÃO 4</t>
  </si>
  <si>
    <t>TUE CHUVEIRO</t>
  </si>
  <si>
    <t>1x32</t>
  </si>
  <si>
    <t>TUG SUITE</t>
  </si>
  <si>
    <t>TUG QUARTO/WC</t>
  </si>
  <si>
    <t>QUADRO DE DISTRIBUIÇÃO 5</t>
  </si>
  <si>
    <t>TUG COZ./SERVIÇO/SALA</t>
  </si>
  <si>
    <t>ILUMINAÇÃO/CAMPAINHA</t>
  </si>
  <si>
    <t>3F+N+ T #2.5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</si>
</sst>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0" borderId="0" xfId="0" applyFont="1" applyAlignment="1"/>
    <xf numFmtId="0" fontId="2" fillId="0" borderId="0" xfId="0" applyFont="1" applyAlignment="1">
      <alignment vertical="center" wrapText="1"/>
    </xf>
    <xf numFmtId="0" fontId="0" fillId="0" borderId="0" xfId="0" applyAlignment="1"/>
    <xf numFmtId="0" fontId="1" fillId="0" borderId="0" xfId="0" applyFont="1" applyBorder="1"/>
    <xf numFmtId="0" fontId="1" fillId="0" borderId="5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4" xfId="0" applyBorder="1"/>
    <xf numFmtId="0" fontId="0" fillId="0" borderId="0" xfId="0" applyBorder="1" applyAlignment="1">
      <alignment wrapText="1"/>
    </xf>
    <xf numFmtId="0" fontId="0" fillId="0" borderId="0" xfId="0" applyBorder="1"/>
    <xf numFmtId="2" fontId="0" fillId="0" borderId="0" xfId="0" applyNumberFormat="1" applyBorder="1"/>
    <xf numFmtId="0" fontId="0" fillId="0" borderId="5" xfId="0" applyBorder="1"/>
    <xf numFmtId="2" fontId="0" fillId="0" borderId="0" xfId="0" applyNumberFormat="1" applyBorder="1" applyAlignment="1">
      <alignment horizontal="left" indent="11"/>
    </xf>
    <xf numFmtId="0" fontId="1" fillId="0" borderId="7" xfId="0" applyFont="1" applyBorder="1"/>
    <xf numFmtId="2" fontId="1" fillId="0" borderId="7" xfId="0" applyNumberFormat="1" applyFont="1" applyBorder="1"/>
    <xf numFmtId="0" fontId="1" fillId="0" borderId="8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190500</xdr:colOff>
      <xdr:row>11</xdr:row>
      <xdr:rowOff>95250</xdr:rowOff>
    </xdr:from>
    <xdr:to>
      <xdr:col>48</xdr:col>
      <xdr:colOff>542925</xdr:colOff>
      <xdr:row>32</xdr:row>
      <xdr:rowOff>57150</xdr:rowOff>
    </xdr:to>
    <xdr:pic>
      <xdr:nvPicPr>
        <xdr:cNvPr id="4" name="Imagem 3" descr="Resultado de imagem para disjuntores mercad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2190750"/>
          <a:ext cx="8924925" cy="405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95250</xdr:colOff>
      <xdr:row>36</xdr:row>
      <xdr:rowOff>0</xdr:rowOff>
    </xdr:from>
    <xdr:to>
      <xdr:col>37</xdr:col>
      <xdr:colOff>171155</xdr:colOff>
      <xdr:row>46</xdr:row>
      <xdr:rowOff>28333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526750" y="6953250"/>
          <a:ext cx="2361905" cy="19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8"/>
  <sheetViews>
    <sheetView tabSelected="1" zoomScale="70" zoomScaleNormal="70" workbookViewId="0">
      <selection activeCell="G9" sqref="G9"/>
    </sheetView>
  </sheetViews>
  <sheetFormatPr defaultRowHeight="15" x14ac:dyDescent="0.25"/>
  <cols>
    <col min="1" max="1" width="12.85546875" bestFit="1" customWidth="1"/>
    <col min="2" max="2" width="26.85546875" bestFit="1" customWidth="1"/>
    <col min="10" max="10" width="12" bestFit="1" customWidth="1"/>
    <col min="11" max="11" width="13.42578125" bestFit="1" customWidth="1"/>
    <col min="12" max="12" width="17.28515625" bestFit="1" customWidth="1"/>
    <col min="13" max="13" width="14.28515625" bestFit="1" customWidth="1"/>
    <col min="14" max="14" width="19.28515625" customWidth="1"/>
    <col min="15" max="15" width="15" bestFit="1" customWidth="1"/>
    <col min="16" max="16" width="17.140625" bestFit="1" customWidth="1"/>
    <col min="17" max="17" width="9.5703125" bestFit="1" customWidth="1"/>
    <col min="18" max="18" width="7.85546875" bestFit="1" customWidth="1"/>
    <col min="19" max="21" width="7.42578125" bestFit="1" customWidth="1"/>
  </cols>
  <sheetData>
    <row r="1" spans="1:36" x14ac:dyDescent="0.25">
      <c r="A1" s="21" t="s">
        <v>28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3"/>
      <c r="V1" s="3"/>
    </row>
    <row r="2" spans="1:36" x14ac:dyDescent="0.25">
      <c r="A2" s="24" t="s">
        <v>0</v>
      </c>
      <c r="B2" s="25" t="s">
        <v>1</v>
      </c>
      <c r="C2" s="25" t="s">
        <v>5</v>
      </c>
      <c r="D2" s="25"/>
      <c r="E2" s="25"/>
      <c r="F2" s="26" t="s">
        <v>6</v>
      </c>
      <c r="G2" s="26"/>
      <c r="H2" s="26"/>
      <c r="I2" s="26"/>
      <c r="J2" s="6" t="s">
        <v>7</v>
      </c>
      <c r="K2" s="6" t="s">
        <v>9</v>
      </c>
      <c r="L2" s="6" t="s">
        <v>11</v>
      </c>
      <c r="M2" s="6" t="s">
        <v>9</v>
      </c>
      <c r="N2" s="6" t="s">
        <v>14</v>
      </c>
      <c r="O2" s="6" t="s">
        <v>16</v>
      </c>
      <c r="P2" s="6" t="s">
        <v>18</v>
      </c>
      <c r="Q2" s="6" t="s">
        <v>30</v>
      </c>
      <c r="R2" s="6"/>
      <c r="S2" s="6"/>
      <c r="T2" s="6"/>
      <c r="U2" s="7"/>
      <c r="V2" s="1"/>
    </row>
    <row r="3" spans="1:36" x14ac:dyDescent="0.25">
      <c r="A3" s="24"/>
      <c r="B3" s="25"/>
      <c r="C3" s="8">
        <v>16</v>
      </c>
      <c r="D3" s="8">
        <v>20</v>
      </c>
      <c r="E3" s="8">
        <v>40</v>
      </c>
      <c r="F3" s="9">
        <v>100</v>
      </c>
      <c r="G3" s="9">
        <v>600</v>
      </c>
      <c r="H3" s="9">
        <v>1600</v>
      </c>
      <c r="I3" s="9">
        <v>3500</v>
      </c>
      <c r="J3" s="6" t="s">
        <v>8</v>
      </c>
      <c r="K3" s="6" t="s">
        <v>10</v>
      </c>
      <c r="L3" s="6" t="s">
        <v>12</v>
      </c>
      <c r="M3" s="6" t="s">
        <v>13</v>
      </c>
      <c r="N3" s="6" t="s">
        <v>15</v>
      </c>
      <c r="O3" s="6" t="s">
        <v>17</v>
      </c>
      <c r="P3" s="6" t="s">
        <v>19</v>
      </c>
      <c r="Q3" s="6" t="s">
        <v>17</v>
      </c>
      <c r="R3" s="6"/>
      <c r="S3" s="6"/>
      <c r="T3" s="6"/>
      <c r="U3" s="7"/>
      <c r="V3" s="1"/>
    </row>
    <row r="4" spans="1:36" x14ac:dyDescent="0.25">
      <c r="A4" s="10">
        <v>1</v>
      </c>
      <c r="B4" s="12" t="s">
        <v>2</v>
      </c>
      <c r="C4" s="12">
        <v>0</v>
      </c>
      <c r="D4" s="12">
        <v>3</v>
      </c>
      <c r="E4" s="12">
        <v>4</v>
      </c>
      <c r="F4" s="12"/>
      <c r="G4" s="12"/>
      <c r="H4" s="12"/>
      <c r="I4" s="12"/>
      <c r="J4" s="12"/>
      <c r="K4" s="12">
        <f>C4*$C$3+D4*$D$3+E4*$E$3+F4*$F$3+G4*$G$3+H4*$H$3+I4*$I$3</f>
        <v>220</v>
      </c>
      <c r="L4" s="12">
        <v>1</v>
      </c>
      <c r="M4" s="6">
        <f>L4*K4</f>
        <v>220</v>
      </c>
      <c r="N4" s="13">
        <f>M4*0.0045444</f>
        <v>0.99976799999999988</v>
      </c>
      <c r="O4" s="12" t="s">
        <v>20</v>
      </c>
      <c r="P4" s="12" t="s">
        <v>23</v>
      </c>
      <c r="Q4" s="12" t="s">
        <v>17</v>
      </c>
      <c r="R4" s="12"/>
      <c r="S4" s="12"/>
      <c r="T4" s="12"/>
      <c r="U4" s="14"/>
    </row>
    <row r="5" spans="1:36" x14ac:dyDescent="0.25">
      <c r="A5" s="10">
        <v>2</v>
      </c>
      <c r="B5" s="11" t="s">
        <v>29</v>
      </c>
      <c r="C5" s="12"/>
      <c r="D5" s="12"/>
      <c r="E5" s="12"/>
      <c r="F5" s="12">
        <v>9</v>
      </c>
      <c r="G5" s="12"/>
      <c r="H5" s="12"/>
      <c r="I5" s="12"/>
      <c r="J5" s="12"/>
      <c r="K5" s="12">
        <f>C5*$C$3+D5*$D$3+E5*$E$3+F5*$F$3+G5*$G$3+H5*$H$3+I5*$I$3</f>
        <v>900</v>
      </c>
      <c r="L5" s="12">
        <v>1</v>
      </c>
      <c r="M5" s="6">
        <f>L5*K5</f>
        <v>900</v>
      </c>
      <c r="N5" s="13">
        <f>M5*0.0045444</f>
        <v>4.0899599999999996</v>
      </c>
      <c r="O5" s="12" t="s">
        <v>21</v>
      </c>
      <c r="P5" s="12" t="s">
        <v>24</v>
      </c>
      <c r="Q5" s="12" t="s">
        <v>17</v>
      </c>
      <c r="R5" s="12"/>
      <c r="S5" s="12"/>
      <c r="T5" s="12"/>
      <c r="U5" s="14"/>
    </row>
    <row r="6" spans="1:36" x14ac:dyDescent="0.25">
      <c r="A6" s="10">
        <v>3</v>
      </c>
      <c r="B6" s="12" t="s">
        <v>27</v>
      </c>
      <c r="C6" s="12"/>
      <c r="D6" s="12"/>
      <c r="E6" s="12"/>
      <c r="F6" s="12"/>
      <c r="G6" s="12"/>
      <c r="H6" s="12">
        <v>1</v>
      </c>
      <c r="I6" s="12"/>
      <c r="J6" s="12"/>
      <c r="K6" s="12">
        <f>C6*$C$3+D6*$D$3+E6*$E$3+F6*$F$3+G6*$G$3+H6*$H$3+I6*$I$3</f>
        <v>1600</v>
      </c>
      <c r="L6" s="12">
        <v>1</v>
      </c>
      <c r="M6" s="6">
        <f>L6*K6</f>
        <v>1600</v>
      </c>
      <c r="N6" s="15">
        <f>M6*0.0045444</f>
        <v>7.2710399999999993</v>
      </c>
      <c r="O6" s="12" t="s">
        <v>20</v>
      </c>
      <c r="P6" s="12" t="s">
        <v>24</v>
      </c>
      <c r="Q6" s="12" t="s">
        <v>17</v>
      </c>
      <c r="R6" s="12"/>
      <c r="S6" s="12"/>
      <c r="T6" s="12"/>
      <c r="U6" s="14"/>
    </row>
    <row r="7" spans="1:36" x14ac:dyDescent="0.25">
      <c r="A7" s="10">
        <v>4</v>
      </c>
      <c r="B7" s="11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6"/>
      <c r="N7" s="13"/>
      <c r="O7" s="12"/>
      <c r="P7" s="12"/>
      <c r="Q7" s="12"/>
      <c r="R7" s="12"/>
      <c r="S7" s="12"/>
      <c r="T7" s="12"/>
      <c r="U7" s="14"/>
    </row>
    <row r="8" spans="1:36" x14ac:dyDescent="0.25">
      <c r="A8" s="10">
        <v>5</v>
      </c>
      <c r="B8" s="11" t="s">
        <v>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6"/>
      <c r="N8" s="13"/>
      <c r="O8" s="12"/>
      <c r="P8" s="12"/>
      <c r="Q8" s="12"/>
      <c r="R8" s="12"/>
      <c r="S8" s="12"/>
      <c r="T8" s="12"/>
      <c r="U8" s="14"/>
    </row>
    <row r="9" spans="1:36" x14ac:dyDescent="0.25">
      <c r="A9" s="10">
        <v>6</v>
      </c>
      <c r="B9" s="12" t="s">
        <v>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6"/>
      <c r="N9" s="13"/>
      <c r="O9" s="12"/>
      <c r="P9" s="12"/>
      <c r="Q9" s="12"/>
      <c r="R9" s="12"/>
      <c r="S9" s="12"/>
      <c r="T9" s="12"/>
      <c r="U9" s="14"/>
    </row>
    <row r="10" spans="1:36" x14ac:dyDescent="0.25">
      <c r="A10" s="10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6"/>
      <c r="N10" s="13"/>
      <c r="O10" s="12"/>
      <c r="P10" s="12"/>
      <c r="Q10" s="12"/>
      <c r="R10" s="12"/>
      <c r="S10" s="12"/>
      <c r="T10" s="12"/>
      <c r="U10" s="14"/>
    </row>
    <row r="11" spans="1:36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6"/>
      <c r="N11" s="13"/>
      <c r="O11" s="12"/>
      <c r="P11" s="12"/>
      <c r="Q11" s="12"/>
      <c r="R11" s="12"/>
      <c r="S11" s="12"/>
      <c r="T11" s="12"/>
      <c r="U11" s="14"/>
    </row>
    <row r="12" spans="1:36" x14ac:dyDescent="0.25">
      <c r="A12" s="19" t="s">
        <v>4</v>
      </c>
      <c r="B12" s="20"/>
      <c r="C12" s="16"/>
      <c r="D12" s="16"/>
      <c r="E12" s="16"/>
      <c r="F12" s="16"/>
      <c r="G12" s="16"/>
      <c r="H12" s="16"/>
      <c r="I12" s="16"/>
      <c r="J12" s="16"/>
      <c r="K12" s="16">
        <f>SUM(K4:K10)</f>
        <v>2720</v>
      </c>
      <c r="L12" s="16">
        <v>0.5</v>
      </c>
      <c r="M12" s="16">
        <f>K12*L12</f>
        <v>1360</v>
      </c>
      <c r="N12" s="17">
        <f>M12*0.0045444</f>
        <v>6.1803839999999992</v>
      </c>
      <c r="O12" s="16" t="s">
        <v>20</v>
      </c>
      <c r="P12" s="16" t="s">
        <v>48</v>
      </c>
      <c r="Q12" s="16"/>
      <c r="R12" s="16"/>
      <c r="S12" s="16"/>
      <c r="T12" s="16"/>
      <c r="U12" s="18"/>
    </row>
    <row r="13" spans="1:36" ht="15" customHeight="1" x14ac:dyDescent="0.25">
      <c r="M13" s="1"/>
      <c r="N13" s="2"/>
      <c r="AE13" s="4"/>
      <c r="AF13" s="4"/>
      <c r="AG13" s="4"/>
      <c r="AH13" s="4"/>
      <c r="AI13" s="4"/>
      <c r="AJ13" s="4"/>
    </row>
    <row r="14" spans="1:36" ht="15" customHeight="1" x14ac:dyDescent="0.25">
      <c r="A14" s="21" t="s">
        <v>31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3"/>
      <c r="AE14" s="4"/>
      <c r="AF14" s="4"/>
      <c r="AG14" s="4"/>
      <c r="AH14" s="4"/>
      <c r="AI14" s="4"/>
      <c r="AJ14" s="4"/>
    </row>
    <row r="15" spans="1:36" ht="15" customHeight="1" x14ac:dyDescent="0.25">
      <c r="A15" s="24" t="s">
        <v>0</v>
      </c>
      <c r="B15" s="25" t="s">
        <v>1</v>
      </c>
      <c r="C15" s="25" t="s">
        <v>5</v>
      </c>
      <c r="D15" s="25"/>
      <c r="E15" s="25"/>
      <c r="F15" s="26" t="s">
        <v>6</v>
      </c>
      <c r="G15" s="26"/>
      <c r="H15" s="26"/>
      <c r="I15" s="26"/>
      <c r="J15" s="6" t="s">
        <v>7</v>
      </c>
      <c r="K15" s="6" t="s">
        <v>9</v>
      </c>
      <c r="L15" s="6" t="s">
        <v>11</v>
      </c>
      <c r="M15" s="6" t="s">
        <v>9</v>
      </c>
      <c r="N15" s="6" t="s">
        <v>14</v>
      </c>
      <c r="O15" s="6" t="s">
        <v>16</v>
      </c>
      <c r="P15" s="6" t="s">
        <v>18</v>
      </c>
      <c r="Q15" s="6" t="s">
        <v>30</v>
      </c>
      <c r="R15" s="6"/>
      <c r="S15" s="6"/>
      <c r="T15" s="6"/>
      <c r="U15" s="7"/>
      <c r="AE15" s="4"/>
      <c r="AF15" s="4"/>
      <c r="AG15" s="4"/>
      <c r="AH15" s="4"/>
      <c r="AI15" s="4"/>
      <c r="AJ15" s="4"/>
    </row>
    <row r="16" spans="1:36" ht="15" customHeight="1" x14ac:dyDescent="0.25">
      <c r="A16" s="24"/>
      <c r="B16" s="25"/>
      <c r="C16" s="8">
        <v>16</v>
      </c>
      <c r="D16" s="8">
        <v>20</v>
      </c>
      <c r="E16" s="8">
        <v>40</v>
      </c>
      <c r="F16" s="9">
        <v>100</v>
      </c>
      <c r="G16" s="9">
        <v>600</v>
      </c>
      <c r="H16" s="9">
        <v>1600</v>
      </c>
      <c r="I16" s="9">
        <v>3500</v>
      </c>
      <c r="J16" s="6" t="s">
        <v>8</v>
      </c>
      <c r="K16" s="6" t="s">
        <v>10</v>
      </c>
      <c r="L16" s="6" t="s">
        <v>12</v>
      </c>
      <c r="M16" s="6" t="s">
        <v>13</v>
      </c>
      <c r="N16" s="6" t="s">
        <v>15</v>
      </c>
      <c r="O16" s="6" t="s">
        <v>17</v>
      </c>
      <c r="P16" s="6" t="s">
        <v>19</v>
      </c>
      <c r="Q16" s="6" t="s">
        <v>17</v>
      </c>
      <c r="R16" s="6"/>
      <c r="S16" s="6"/>
      <c r="T16" s="6"/>
      <c r="U16" s="7"/>
      <c r="AE16" s="4"/>
      <c r="AF16" s="4"/>
      <c r="AG16" s="4"/>
      <c r="AH16" s="4"/>
      <c r="AI16" s="4"/>
      <c r="AJ16" s="4"/>
    </row>
    <row r="17" spans="1:36" ht="15" customHeight="1" x14ac:dyDescent="0.25">
      <c r="A17" s="10">
        <v>1</v>
      </c>
      <c r="B17" s="12" t="s">
        <v>2</v>
      </c>
      <c r="C17" s="12">
        <v>0</v>
      </c>
      <c r="D17" s="12">
        <v>3</v>
      </c>
      <c r="E17" s="12">
        <v>4</v>
      </c>
      <c r="F17" s="12"/>
      <c r="G17" s="12"/>
      <c r="H17" s="12"/>
      <c r="I17" s="12"/>
      <c r="J17" s="12"/>
      <c r="K17" s="12">
        <f t="shared" ref="K17:K19" si="0">C17*$C$3+D17*$D$3+E17*$E$3+F17*$F$3+G17*$G$3+H17*$H$3+I17*$I$3</f>
        <v>220</v>
      </c>
      <c r="L17" s="12">
        <v>1</v>
      </c>
      <c r="M17" s="6">
        <f>L17*K17</f>
        <v>220</v>
      </c>
      <c r="N17" s="13">
        <f>M17*0.0045444</f>
        <v>0.99976799999999988</v>
      </c>
      <c r="O17" s="12" t="s">
        <v>20</v>
      </c>
      <c r="P17" s="12" t="s">
        <v>23</v>
      </c>
      <c r="Q17" s="12" t="s">
        <v>17</v>
      </c>
      <c r="R17" s="12"/>
      <c r="S17" s="12"/>
      <c r="T17" s="12"/>
      <c r="U17" s="14"/>
      <c r="AE17" s="4"/>
      <c r="AF17" s="4"/>
      <c r="AG17" s="4"/>
      <c r="AH17" s="4"/>
      <c r="AI17" s="4"/>
      <c r="AJ17" s="4"/>
    </row>
    <row r="18" spans="1:36" ht="18.75" customHeight="1" x14ac:dyDescent="0.25">
      <c r="A18" s="10">
        <v>2</v>
      </c>
      <c r="B18" s="11" t="s">
        <v>29</v>
      </c>
      <c r="C18" s="12"/>
      <c r="D18" s="12"/>
      <c r="E18" s="12"/>
      <c r="F18" s="12">
        <v>10</v>
      </c>
      <c r="G18" s="12"/>
      <c r="H18" s="12"/>
      <c r="I18" s="12"/>
      <c r="J18" s="12"/>
      <c r="K18" s="12">
        <f t="shared" si="0"/>
        <v>1000</v>
      </c>
      <c r="L18" s="12">
        <v>1</v>
      </c>
      <c r="M18" s="6">
        <f>L18*K18</f>
        <v>1000</v>
      </c>
      <c r="N18" s="13">
        <f>M18*0.0045444</f>
        <v>4.5443999999999996</v>
      </c>
      <c r="O18" s="12" t="s">
        <v>21</v>
      </c>
      <c r="P18" s="12" t="s">
        <v>24</v>
      </c>
      <c r="Q18" s="12" t="s">
        <v>17</v>
      </c>
      <c r="R18" s="12"/>
      <c r="S18" s="12"/>
      <c r="T18" s="12"/>
      <c r="U18" s="14"/>
      <c r="AE18" s="4"/>
      <c r="AF18" s="4"/>
      <c r="AG18" s="4"/>
      <c r="AH18" s="4"/>
      <c r="AI18" s="4"/>
      <c r="AJ18" s="4"/>
    </row>
    <row r="19" spans="1:36" ht="15" customHeight="1" x14ac:dyDescent="0.25">
      <c r="A19" s="10">
        <v>3</v>
      </c>
      <c r="B19" s="12" t="s">
        <v>27</v>
      </c>
      <c r="C19" s="12"/>
      <c r="D19" s="12"/>
      <c r="E19" s="12"/>
      <c r="F19" s="12"/>
      <c r="G19" s="12"/>
      <c r="H19" s="12">
        <v>1</v>
      </c>
      <c r="I19" s="12"/>
      <c r="J19" s="12"/>
      <c r="K19" s="12">
        <f t="shared" si="0"/>
        <v>1600</v>
      </c>
      <c r="L19" s="12">
        <v>1</v>
      </c>
      <c r="M19" s="6">
        <f>L19*K19</f>
        <v>1600</v>
      </c>
      <c r="N19" s="15">
        <f>M19*0.0045444</f>
        <v>7.2710399999999993</v>
      </c>
      <c r="O19" s="12" t="s">
        <v>20</v>
      </c>
      <c r="P19" s="12" t="s">
        <v>24</v>
      </c>
      <c r="Q19" s="12" t="s">
        <v>17</v>
      </c>
      <c r="R19" s="12"/>
      <c r="S19" s="12"/>
      <c r="T19" s="12"/>
      <c r="U19" s="14"/>
    </row>
    <row r="20" spans="1:36" ht="15" customHeight="1" x14ac:dyDescent="0.25">
      <c r="A20" s="10">
        <v>4</v>
      </c>
      <c r="B20" s="11" t="s">
        <v>3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6"/>
      <c r="N20" s="13"/>
      <c r="O20" s="12"/>
      <c r="P20" s="12"/>
      <c r="Q20" s="12"/>
      <c r="R20" s="12"/>
      <c r="S20" s="12"/>
      <c r="T20" s="12"/>
      <c r="U20" s="14"/>
    </row>
    <row r="21" spans="1:36" ht="15" customHeight="1" x14ac:dyDescent="0.25">
      <c r="A21" s="10">
        <v>5</v>
      </c>
      <c r="B21" s="11" t="s">
        <v>3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6"/>
      <c r="N21" s="13"/>
      <c r="O21" s="12"/>
      <c r="P21" s="12"/>
      <c r="Q21" s="12"/>
      <c r="R21" s="12"/>
      <c r="S21" s="12"/>
      <c r="T21" s="12"/>
      <c r="U21" s="14"/>
    </row>
    <row r="22" spans="1:36" ht="15" customHeight="1" x14ac:dyDescent="0.25">
      <c r="A22" s="10">
        <v>6</v>
      </c>
      <c r="B22" s="12" t="s">
        <v>3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6"/>
      <c r="N22" s="13"/>
      <c r="O22" s="12"/>
      <c r="P22" s="12"/>
      <c r="Q22" s="12"/>
      <c r="R22" s="12"/>
      <c r="S22" s="12"/>
      <c r="T22" s="12"/>
      <c r="U22" s="14"/>
    </row>
    <row r="23" spans="1:36" ht="15" customHeight="1" x14ac:dyDescent="0.25">
      <c r="A23" s="10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6"/>
      <c r="N23" s="13"/>
      <c r="O23" s="12"/>
      <c r="P23" s="12"/>
      <c r="Q23" s="12"/>
      <c r="R23" s="12"/>
      <c r="S23" s="12"/>
      <c r="T23" s="12"/>
      <c r="U23" s="14"/>
    </row>
    <row r="24" spans="1:36" x14ac:dyDescent="0.25">
      <c r="A24" s="10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6"/>
      <c r="N24" s="13"/>
      <c r="O24" s="12"/>
      <c r="P24" s="12"/>
      <c r="Q24" s="12"/>
      <c r="R24" s="12"/>
      <c r="S24" s="12"/>
      <c r="T24" s="12"/>
      <c r="U24" s="14"/>
    </row>
    <row r="25" spans="1:36" x14ac:dyDescent="0.25">
      <c r="A25" s="19" t="s">
        <v>4</v>
      </c>
      <c r="B25" s="20"/>
      <c r="C25" s="16"/>
      <c r="D25" s="16"/>
      <c r="E25" s="16"/>
      <c r="F25" s="16"/>
      <c r="G25" s="16"/>
      <c r="H25" s="16"/>
      <c r="I25" s="16"/>
      <c r="J25" s="16"/>
      <c r="K25" s="16">
        <f>SUM(K17:K23)</f>
        <v>2820</v>
      </c>
      <c r="L25" s="16">
        <v>0.5</v>
      </c>
      <c r="M25" s="16">
        <f>K25*L25</f>
        <v>1410</v>
      </c>
      <c r="N25" s="17">
        <f>M25*0.0045444</f>
        <v>6.4076039999999992</v>
      </c>
      <c r="O25" s="16" t="s">
        <v>20</v>
      </c>
      <c r="P25" s="16" t="s">
        <v>48</v>
      </c>
      <c r="Q25" s="16"/>
      <c r="R25" s="16"/>
      <c r="S25" s="16"/>
      <c r="T25" s="16"/>
      <c r="U25" s="18"/>
    </row>
    <row r="26" spans="1:36" x14ac:dyDescent="0.25">
      <c r="J26" s="5"/>
      <c r="K26" s="5"/>
      <c r="L26" s="5"/>
      <c r="M26" s="5"/>
      <c r="N26" s="5"/>
      <c r="O26" s="5"/>
      <c r="P26" s="5"/>
    </row>
    <row r="27" spans="1:36" x14ac:dyDescent="0.25">
      <c r="A27" s="21" t="s">
        <v>33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3"/>
    </row>
    <row r="28" spans="1:36" x14ac:dyDescent="0.25">
      <c r="A28" s="24" t="s">
        <v>0</v>
      </c>
      <c r="B28" s="25" t="s">
        <v>1</v>
      </c>
      <c r="C28" s="25" t="s">
        <v>5</v>
      </c>
      <c r="D28" s="25"/>
      <c r="E28" s="25"/>
      <c r="F28" s="26" t="s">
        <v>6</v>
      </c>
      <c r="G28" s="26"/>
      <c r="H28" s="26"/>
      <c r="I28" s="26"/>
      <c r="J28" s="6" t="s">
        <v>7</v>
      </c>
      <c r="K28" s="6" t="s">
        <v>9</v>
      </c>
      <c r="L28" s="6" t="s">
        <v>11</v>
      </c>
      <c r="M28" s="6" t="s">
        <v>9</v>
      </c>
      <c r="N28" s="6" t="s">
        <v>14</v>
      </c>
      <c r="O28" s="6" t="s">
        <v>16</v>
      </c>
      <c r="P28" s="6" t="s">
        <v>18</v>
      </c>
      <c r="Q28" s="6" t="s">
        <v>30</v>
      </c>
      <c r="R28" s="6"/>
      <c r="S28" s="6"/>
      <c r="T28" s="6"/>
      <c r="U28" s="7"/>
    </row>
    <row r="29" spans="1:36" x14ac:dyDescent="0.25">
      <c r="A29" s="24"/>
      <c r="B29" s="25"/>
      <c r="C29" s="8">
        <v>16</v>
      </c>
      <c r="D29" s="8">
        <v>20</v>
      </c>
      <c r="E29" s="8">
        <v>40</v>
      </c>
      <c r="F29" s="9">
        <v>100</v>
      </c>
      <c r="G29" s="9">
        <v>600</v>
      </c>
      <c r="H29" s="9">
        <v>1600</v>
      </c>
      <c r="I29" s="9">
        <v>3500</v>
      </c>
      <c r="J29" s="6" t="s">
        <v>8</v>
      </c>
      <c r="K29" s="6" t="s">
        <v>10</v>
      </c>
      <c r="L29" s="6" t="s">
        <v>12</v>
      </c>
      <c r="M29" s="6" t="s">
        <v>13</v>
      </c>
      <c r="N29" s="6" t="s">
        <v>15</v>
      </c>
      <c r="O29" s="6" t="s">
        <v>17</v>
      </c>
      <c r="P29" s="6" t="s">
        <v>19</v>
      </c>
      <c r="Q29" s="6" t="s">
        <v>17</v>
      </c>
      <c r="R29" s="6"/>
      <c r="S29" s="6"/>
      <c r="T29" s="6"/>
      <c r="U29" s="7"/>
    </row>
    <row r="30" spans="1:36" x14ac:dyDescent="0.25">
      <c r="A30" s="10">
        <v>1</v>
      </c>
      <c r="B30" s="12" t="s">
        <v>47</v>
      </c>
      <c r="C30" s="12">
        <v>0</v>
      </c>
      <c r="D30" s="12">
        <v>16</v>
      </c>
      <c r="E30" s="12">
        <v>2</v>
      </c>
      <c r="F30" s="12"/>
      <c r="G30" s="12"/>
      <c r="H30" s="12"/>
      <c r="I30" s="12"/>
      <c r="J30" s="12"/>
      <c r="K30" s="12">
        <f>C30*$C$3+D30*$D$3+E30*$E$3+F30*$F$3+G30*$G$3+H30*$H$3+I30*$I$3</f>
        <v>400</v>
      </c>
      <c r="L30" s="12">
        <v>1</v>
      </c>
      <c r="M30" s="6">
        <f>L30*K30</f>
        <v>400</v>
      </c>
      <c r="N30" s="13">
        <f>M30*0.0045444</f>
        <v>1.8177599999999998</v>
      </c>
      <c r="O30" s="12" t="s">
        <v>20</v>
      </c>
      <c r="P30" s="12" t="s">
        <v>23</v>
      </c>
      <c r="Q30" s="12" t="s">
        <v>17</v>
      </c>
      <c r="R30" s="12"/>
      <c r="S30" s="12"/>
      <c r="T30" s="12"/>
      <c r="U30" s="14"/>
    </row>
    <row r="31" spans="1:36" x14ac:dyDescent="0.25">
      <c r="A31" s="10">
        <v>2</v>
      </c>
      <c r="B31" s="11" t="s">
        <v>32</v>
      </c>
      <c r="C31" s="12"/>
      <c r="D31" s="12"/>
      <c r="E31" s="12"/>
      <c r="F31" s="12"/>
      <c r="G31" s="12">
        <v>1</v>
      </c>
      <c r="H31" s="12"/>
      <c r="I31" s="12"/>
      <c r="J31" s="12"/>
      <c r="K31" s="12">
        <f>C31*$C$3+D31*$D$3+E31*$E$3+F31*$F$3+G31*$G$3+H31*$H$3+I31*$I$3</f>
        <v>600</v>
      </c>
      <c r="L31" s="12">
        <v>1</v>
      </c>
      <c r="M31" s="6">
        <f>L31*K31</f>
        <v>600</v>
      </c>
      <c r="N31" s="13">
        <f>M31*0.0045444</f>
        <v>2.7266399999999997</v>
      </c>
      <c r="O31" s="12" t="s">
        <v>21</v>
      </c>
      <c r="P31" s="12" t="s">
        <v>24</v>
      </c>
      <c r="Q31" s="12" t="s">
        <v>17</v>
      </c>
      <c r="R31" s="12"/>
      <c r="S31" s="12"/>
      <c r="T31" s="12"/>
      <c r="U31" s="14"/>
    </row>
    <row r="32" spans="1:36" x14ac:dyDescent="0.25">
      <c r="A32" s="10">
        <v>3</v>
      </c>
      <c r="B32" s="12" t="s">
        <v>3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6"/>
      <c r="N32" s="15"/>
      <c r="O32" s="12"/>
      <c r="P32" s="12"/>
      <c r="Q32" s="12"/>
      <c r="R32" s="12"/>
      <c r="S32" s="12"/>
      <c r="T32" s="12"/>
      <c r="U32" s="14"/>
    </row>
    <row r="33" spans="1:22" x14ac:dyDescent="0.25">
      <c r="A33" s="10">
        <v>4</v>
      </c>
      <c r="B33" s="11" t="s">
        <v>3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6"/>
      <c r="N33" s="13"/>
      <c r="O33" s="12"/>
      <c r="P33" s="12"/>
      <c r="Q33" s="12"/>
      <c r="R33" s="12"/>
      <c r="S33" s="12"/>
      <c r="T33" s="12"/>
      <c r="U33" s="14"/>
    </row>
    <row r="34" spans="1:22" x14ac:dyDescent="0.25">
      <c r="A34" s="10">
        <v>5</v>
      </c>
      <c r="B34" s="11" t="s">
        <v>3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6"/>
      <c r="N34" s="13"/>
      <c r="O34" s="12"/>
      <c r="P34" s="12"/>
      <c r="Q34" s="12"/>
      <c r="R34" s="12"/>
      <c r="S34" s="12"/>
      <c r="T34" s="12"/>
      <c r="U34" s="14"/>
    </row>
    <row r="35" spans="1:22" x14ac:dyDescent="0.25">
      <c r="A35" s="10">
        <v>6</v>
      </c>
      <c r="B35" s="12" t="s">
        <v>3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6"/>
      <c r="N35" s="13"/>
      <c r="O35" s="12"/>
      <c r="P35" s="12"/>
      <c r="Q35" s="12"/>
      <c r="R35" s="12"/>
      <c r="S35" s="12"/>
      <c r="T35" s="12"/>
      <c r="U35" s="14"/>
    </row>
    <row r="36" spans="1:22" x14ac:dyDescent="0.25">
      <c r="A36" s="10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6"/>
      <c r="N36" s="13"/>
      <c r="O36" s="12"/>
      <c r="P36" s="12"/>
      <c r="Q36" s="12"/>
      <c r="R36" s="12"/>
      <c r="S36" s="12"/>
      <c r="T36" s="12"/>
      <c r="U36" s="14"/>
    </row>
    <row r="37" spans="1:22" ht="15" customHeight="1" x14ac:dyDescent="0.25">
      <c r="A37" s="10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6"/>
      <c r="N37" s="13"/>
      <c r="O37" s="12"/>
      <c r="P37" s="12"/>
      <c r="Q37" s="12"/>
      <c r="R37" s="12"/>
      <c r="S37" s="12"/>
      <c r="T37" s="12"/>
      <c r="U37" s="14"/>
    </row>
    <row r="38" spans="1:22" ht="15" customHeight="1" x14ac:dyDescent="0.25">
      <c r="A38" s="19" t="s">
        <v>4</v>
      </c>
      <c r="B38" s="20"/>
      <c r="C38" s="16"/>
      <c r="D38" s="16"/>
      <c r="E38" s="16"/>
      <c r="F38" s="16"/>
      <c r="G38" s="16"/>
      <c r="H38" s="16"/>
      <c r="I38" s="16"/>
      <c r="J38" s="16"/>
      <c r="K38" s="16">
        <f>SUM(K30:K36)</f>
        <v>1000</v>
      </c>
      <c r="L38" s="16">
        <v>0.5</v>
      </c>
      <c r="M38" s="16">
        <f>K38*L38</f>
        <v>500</v>
      </c>
      <c r="N38" s="17">
        <f>M38*0.0045444</f>
        <v>2.2721999999999998</v>
      </c>
      <c r="O38" s="16" t="s">
        <v>20</v>
      </c>
      <c r="P38" s="16" t="s">
        <v>24</v>
      </c>
      <c r="Q38" s="16"/>
      <c r="R38" s="16"/>
      <c r="S38" s="16"/>
      <c r="T38" s="16"/>
      <c r="U38" s="18"/>
    </row>
    <row r="39" spans="1:22" ht="15" customHeight="1" x14ac:dyDescent="0.25">
      <c r="L39" s="4"/>
      <c r="M39" s="4"/>
      <c r="N39" s="4"/>
      <c r="O39" s="4"/>
      <c r="P39" s="4"/>
      <c r="Q39" s="4"/>
    </row>
    <row r="40" spans="1:22" ht="15" customHeight="1" x14ac:dyDescent="0.25">
      <c r="A40" s="21" t="s">
        <v>40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3"/>
    </row>
    <row r="41" spans="1:22" ht="15" customHeight="1" x14ac:dyDescent="0.25">
      <c r="A41" s="24" t="s">
        <v>0</v>
      </c>
      <c r="B41" s="25" t="s">
        <v>1</v>
      </c>
      <c r="C41" s="25" t="s">
        <v>5</v>
      </c>
      <c r="D41" s="25"/>
      <c r="E41" s="25"/>
      <c r="F41" s="26" t="s">
        <v>6</v>
      </c>
      <c r="G41" s="26"/>
      <c r="H41" s="26"/>
      <c r="I41" s="26"/>
      <c r="J41" s="6" t="s">
        <v>7</v>
      </c>
      <c r="K41" s="6" t="s">
        <v>9</v>
      </c>
      <c r="L41" s="6" t="s">
        <v>11</v>
      </c>
      <c r="M41" s="6" t="s">
        <v>9</v>
      </c>
      <c r="N41" s="6" t="s">
        <v>14</v>
      </c>
      <c r="O41" s="6" t="s">
        <v>16</v>
      </c>
      <c r="P41" s="6" t="s">
        <v>18</v>
      </c>
      <c r="Q41" s="6" t="s">
        <v>34</v>
      </c>
      <c r="R41" s="6" t="s">
        <v>17</v>
      </c>
      <c r="S41" s="6" t="s">
        <v>17</v>
      </c>
      <c r="T41" s="6" t="s">
        <v>35</v>
      </c>
      <c r="U41" s="7" t="s">
        <v>36</v>
      </c>
      <c r="V41" s="3"/>
    </row>
    <row r="42" spans="1:22" ht="15" customHeight="1" x14ac:dyDescent="0.25">
      <c r="A42" s="24"/>
      <c r="B42" s="25"/>
      <c r="C42" s="8">
        <v>16</v>
      </c>
      <c r="D42" s="8">
        <v>20</v>
      </c>
      <c r="E42" s="8">
        <v>40</v>
      </c>
      <c r="F42" s="9">
        <v>100</v>
      </c>
      <c r="G42" s="9">
        <v>600</v>
      </c>
      <c r="H42" s="9">
        <v>1600</v>
      </c>
      <c r="I42" s="9">
        <v>3500</v>
      </c>
      <c r="J42" s="6" t="s">
        <v>8</v>
      </c>
      <c r="K42" s="6" t="s">
        <v>10</v>
      </c>
      <c r="L42" s="6" t="s">
        <v>12</v>
      </c>
      <c r="M42" s="6" t="s">
        <v>13</v>
      </c>
      <c r="N42" s="6" t="s">
        <v>15</v>
      </c>
      <c r="O42" s="6" t="s">
        <v>17</v>
      </c>
      <c r="P42" s="6" t="s">
        <v>19</v>
      </c>
      <c r="Q42" s="6" t="s">
        <v>37</v>
      </c>
      <c r="R42" s="6" t="s">
        <v>38</v>
      </c>
      <c r="S42" s="6" t="s">
        <v>39</v>
      </c>
      <c r="T42" s="6" t="s">
        <v>39</v>
      </c>
      <c r="U42" s="7" t="s">
        <v>39</v>
      </c>
      <c r="V42" s="1"/>
    </row>
    <row r="43" spans="1:22" x14ac:dyDescent="0.25">
      <c r="A43" s="10">
        <v>1</v>
      </c>
      <c r="B43" s="12" t="s">
        <v>2</v>
      </c>
      <c r="C43" s="12">
        <v>0</v>
      </c>
      <c r="D43" s="12">
        <v>4</v>
      </c>
      <c r="E43" s="12">
        <v>6</v>
      </c>
      <c r="F43" s="12"/>
      <c r="G43" s="12"/>
      <c r="H43" s="12"/>
      <c r="I43" s="12"/>
      <c r="J43" s="12"/>
      <c r="K43" s="12">
        <f t="shared" ref="K43:K49" si="1">C43*$C$3+D43*$D$3+E43*$E$3+F43*$F$3+G43*$G$3+H43*$H$3+I43*$I$3</f>
        <v>320</v>
      </c>
      <c r="L43" s="12">
        <v>1</v>
      </c>
      <c r="M43" s="6">
        <f>L43*K43</f>
        <v>320</v>
      </c>
      <c r="N43" s="13">
        <f t="shared" ref="N43:N50" si="2">M43*0.0045444</f>
        <v>1.4542079999999999</v>
      </c>
      <c r="O43" s="12" t="s">
        <v>20</v>
      </c>
      <c r="P43" s="12" t="s">
        <v>23</v>
      </c>
      <c r="Q43" s="12" t="s">
        <v>17</v>
      </c>
      <c r="R43" s="12">
        <f>K43</f>
        <v>320</v>
      </c>
      <c r="S43" s="12">
        <f>IF(Q43="A",R43,0)</f>
        <v>320</v>
      </c>
      <c r="T43" s="12">
        <f>IF(Q43="B",R43,0)</f>
        <v>0</v>
      </c>
      <c r="U43" s="14">
        <f>IF(Q43="C",R43,0)</f>
        <v>0</v>
      </c>
      <c r="V43" s="1"/>
    </row>
    <row r="44" spans="1:22" x14ac:dyDescent="0.25">
      <c r="A44" s="10">
        <v>2</v>
      </c>
      <c r="B44" s="11" t="s">
        <v>43</v>
      </c>
      <c r="C44" s="12"/>
      <c r="D44" s="12"/>
      <c r="E44" s="12"/>
      <c r="F44" s="12">
        <v>9</v>
      </c>
      <c r="G44" s="12">
        <v>1</v>
      </c>
      <c r="H44" s="12"/>
      <c r="I44" s="12"/>
      <c r="J44" s="12"/>
      <c r="K44" s="12">
        <f t="shared" si="1"/>
        <v>1500</v>
      </c>
      <c r="L44" s="12">
        <v>1</v>
      </c>
      <c r="M44" s="6">
        <f t="shared" ref="M44:M49" si="3">L44*K44</f>
        <v>1500</v>
      </c>
      <c r="N44" s="13">
        <f t="shared" si="2"/>
        <v>6.8165999999999993</v>
      </c>
      <c r="O44" s="12" t="s">
        <v>21</v>
      </c>
      <c r="P44" s="12" t="s">
        <v>24</v>
      </c>
      <c r="Q44" s="12" t="s">
        <v>35</v>
      </c>
      <c r="R44" s="12">
        <f t="shared" ref="R44:R49" si="4">K44</f>
        <v>1500</v>
      </c>
      <c r="S44" s="12">
        <f t="shared" ref="S44:S49" si="5">IF(Q44="A",R44,0)</f>
        <v>0</v>
      </c>
      <c r="T44" s="12">
        <f t="shared" ref="T44:T49" si="6">IF(Q44="B",R44,0)</f>
        <v>1500</v>
      </c>
      <c r="U44" s="14">
        <f t="shared" ref="U44:U49" si="7">IF(Q44="C",R44,0)</f>
        <v>0</v>
      </c>
    </row>
    <row r="45" spans="1:22" x14ac:dyDescent="0.25">
      <c r="A45" s="10">
        <v>3</v>
      </c>
      <c r="B45" s="11" t="s">
        <v>44</v>
      </c>
      <c r="C45" s="12"/>
      <c r="D45" s="12"/>
      <c r="E45" s="12"/>
      <c r="F45" s="12">
        <v>7</v>
      </c>
      <c r="G45" s="12">
        <v>1</v>
      </c>
      <c r="H45" s="12"/>
      <c r="I45" s="12"/>
      <c r="J45" s="12"/>
      <c r="K45" s="12">
        <f t="shared" si="1"/>
        <v>1300</v>
      </c>
      <c r="L45" s="12">
        <v>1</v>
      </c>
      <c r="M45" s="6">
        <f t="shared" si="3"/>
        <v>1300</v>
      </c>
      <c r="N45" s="15">
        <f t="shared" si="2"/>
        <v>5.9077199999999994</v>
      </c>
      <c r="O45" s="12" t="s">
        <v>20</v>
      </c>
      <c r="P45" s="12" t="s">
        <v>24</v>
      </c>
      <c r="Q45" s="12" t="s">
        <v>17</v>
      </c>
      <c r="R45" s="12">
        <f t="shared" si="4"/>
        <v>1300</v>
      </c>
      <c r="S45" s="12">
        <f t="shared" si="5"/>
        <v>1300</v>
      </c>
      <c r="T45" s="12">
        <f t="shared" si="6"/>
        <v>0</v>
      </c>
      <c r="U45" s="14">
        <f t="shared" si="7"/>
        <v>0</v>
      </c>
    </row>
    <row r="46" spans="1:22" x14ac:dyDescent="0.25">
      <c r="A46" s="10">
        <v>4</v>
      </c>
      <c r="B46" s="11" t="s">
        <v>46</v>
      </c>
      <c r="C46" s="12"/>
      <c r="D46" s="12"/>
      <c r="E46" s="12"/>
      <c r="F46" s="12">
        <v>14</v>
      </c>
      <c r="G46" s="12">
        <v>2</v>
      </c>
      <c r="H46" s="12"/>
      <c r="I46" s="12"/>
      <c r="J46" s="12"/>
      <c r="K46" s="12">
        <f t="shared" si="1"/>
        <v>2600</v>
      </c>
      <c r="L46" s="12">
        <v>1</v>
      </c>
      <c r="M46" s="6">
        <f t="shared" si="3"/>
        <v>2600</v>
      </c>
      <c r="N46" s="13">
        <f t="shared" si="2"/>
        <v>11.815439999999999</v>
      </c>
      <c r="O46" s="12" t="s">
        <v>22</v>
      </c>
      <c r="P46" s="12" t="s">
        <v>24</v>
      </c>
      <c r="Q46" s="12" t="s">
        <v>36</v>
      </c>
      <c r="R46" s="12">
        <f t="shared" si="4"/>
        <v>2600</v>
      </c>
      <c r="S46" s="12">
        <f t="shared" si="5"/>
        <v>0</v>
      </c>
      <c r="T46" s="12">
        <f t="shared" si="6"/>
        <v>0</v>
      </c>
      <c r="U46" s="14">
        <f t="shared" si="7"/>
        <v>2600</v>
      </c>
    </row>
    <row r="47" spans="1:22" x14ac:dyDescent="0.25">
      <c r="A47" s="10">
        <v>5</v>
      </c>
      <c r="B47" s="11" t="s">
        <v>41</v>
      </c>
      <c r="C47" s="12"/>
      <c r="D47" s="12"/>
      <c r="E47" s="12"/>
      <c r="F47" s="12"/>
      <c r="G47" s="12"/>
      <c r="H47" s="12"/>
      <c r="I47" s="12">
        <v>1</v>
      </c>
      <c r="J47" s="12"/>
      <c r="K47" s="12">
        <f t="shared" si="1"/>
        <v>3500</v>
      </c>
      <c r="L47" s="12">
        <v>1</v>
      </c>
      <c r="M47" s="6">
        <f t="shared" si="3"/>
        <v>3500</v>
      </c>
      <c r="N47" s="13">
        <f t="shared" si="2"/>
        <v>15.905399999999998</v>
      </c>
      <c r="O47" s="12" t="s">
        <v>22</v>
      </c>
      <c r="P47" s="12" t="s">
        <v>25</v>
      </c>
      <c r="Q47" s="12" t="s">
        <v>35</v>
      </c>
      <c r="R47" s="12">
        <f t="shared" si="4"/>
        <v>3500</v>
      </c>
      <c r="S47" s="12">
        <f t="shared" si="5"/>
        <v>0</v>
      </c>
      <c r="T47" s="12">
        <f t="shared" si="6"/>
        <v>3500</v>
      </c>
      <c r="U47" s="14">
        <f t="shared" si="7"/>
        <v>0</v>
      </c>
    </row>
    <row r="48" spans="1:22" x14ac:dyDescent="0.25">
      <c r="A48" s="10">
        <v>6</v>
      </c>
      <c r="B48" s="11" t="s">
        <v>41</v>
      </c>
      <c r="C48" s="12"/>
      <c r="D48" s="12"/>
      <c r="E48" s="12"/>
      <c r="F48" s="12"/>
      <c r="G48" s="12"/>
      <c r="H48" s="12"/>
      <c r="I48" s="12">
        <v>1</v>
      </c>
      <c r="J48" s="12"/>
      <c r="K48" s="12">
        <f>C48*$C$3+D48*$D$3+E48*$E$3+F48*$F$3+G48*$G$3+H48*$H$3+I48*$I$3</f>
        <v>3500</v>
      </c>
      <c r="L48" s="12">
        <v>1</v>
      </c>
      <c r="M48" s="6">
        <f>L48*K48</f>
        <v>3500</v>
      </c>
      <c r="N48" s="13">
        <f t="shared" si="2"/>
        <v>15.905399999999998</v>
      </c>
      <c r="O48" s="12" t="s">
        <v>22</v>
      </c>
      <c r="P48" s="12" t="s">
        <v>25</v>
      </c>
      <c r="Q48" s="12" t="s">
        <v>36</v>
      </c>
      <c r="R48" s="12">
        <f>K48</f>
        <v>3500</v>
      </c>
      <c r="S48" s="12">
        <f>IF(Q48="A",R48,0)</f>
        <v>0</v>
      </c>
      <c r="T48" s="12">
        <f>IF(Q48="B",R48,0)</f>
        <v>0</v>
      </c>
      <c r="U48" s="14">
        <f>IF(Q48="C",R48,0)</f>
        <v>3500</v>
      </c>
    </row>
    <row r="49" spans="1:21" x14ac:dyDescent="0.25">
      <c r="A49" s="10">
        <v>7</v>
      </c>
      <c r="B49" s="12" t="s">
        <v>27</v>
      </c>
      <c r="C49" s="12"/>
      <c r="D49" s="12"/>
      <c r="E49" s="12"/>
      <c r="F49" s="12"/>
      <c r="G49" s="12"/>
      <c r="H49" s="12">
        <v>1</v>
      </c>
      <c r="I49" s="12"/>
      <c r="J49" s="12"/>
      <c r="K49" s="12">
        <f t="shared" si="1"/>
        <v>1600</v>
      </c>
      <c r="L49" s="12">
        <v>1</v>
      </c>
      <c r="M49" s="6">
        <f t="shared" si="3"/>
        <v>1600</v>
      </c>
      <c r="N49" s="13">
        <f t="shared" si="2"/>
        <v>7.2710399999999993</v>
      </c>
      <c r="O49" s="12" t="s">
        <v>21</v>
      </c>
      <c r="P49" s="12" t="s">
        <v>24</v>
      </c>
      <c r="Q49" s="12" t="s">
        <v>17</v>
      </c>
      <c r="R49" s="12">
        <f t="shared" si="4"/>
        <v>1600</v>
      </c>
      <c r="S49" s="12">
        <f t="shared" si="5"/>
        <v>1600</v>
      </c>
      <c r="T49" s="12">
        <f t="shared" si="6"/>
        <v>0</v>
      </c>
      <c r="U49" s="14">
        <f t="shared" si="7"/>
        <v>0</v>
      </c>
    </row>
    <row r="50" spans="1:21" x14ac:dyDescent="0.25">
      <c r="A50" s="10">
        <v>8</v>
      </c>
      <c r="B50" s="12" t="s">
        <v>27</v>
      </c>
      <c r="C50" s="12"/>
      <c r="D50" s="12"/>
      <c r="E50" s="12"/>
      <c r="F50" s="12"/>
      <c r="G50" s="12"/>
      <c r="H50" s="12">
        <v>1</v>
      </c>
      <c r="I50" s="12"/>
      <c r="J50" s="12"/>
      <c r="K50" s="12">
        <f>C50*$C$3+D50*$D$3+E50*$E$3+F50*$F$3+G50*$G$3+H50*$H$3+I50*$I$3</f>
        <v>1600</v>
      </c>
      <c r="L50" s="12">
        <v>1</v>
      </c>
      <c r="M50" s="6">
        <f>L50*K50</f>
        <v>1600</v>
      </c>
      <c r="N50" s="13">
        <f t="shared" si="2"/>
        <v>7.2710399999999993</v>
      </c>
      <c r="O50" s="12" t="s">
        <v>21</v>
      </c>
      <c r="P50" s="12" t="s">
        <v>24</v>
      </c>
      <c r="Q50" s="12" t="s">
        <v>17</v>
      </c>
      <c r="R50" s="12">
        <f>K50</f>
        <v>1600</v>
      </c>
      <c r="S50" s="12">
        <f>IF(Q50="A",R50,0)</f>
        <v>1600</v>
      </c>
      <c r="T50" s="12">
        <f>IF(Q50="B",R50,0)</f>
        <v>0</v>
      </c>
      <c r="U50" s="14">
        <f>IF(Q50="C",R50,0)</f>
        <v>0</v>
      </c>
    </row>
    <row r="51" spans="1:21" x14ac:dyDescent="0.25">
      <c r="A51" s="10">
        <v>9</v>
      </c>
      <c r="B51" s="12" t="s">
        <v>3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6"/>
      <c r="N51" s="13"/>
      <c r="O51" s="12"/>
      <c r="P51" s="12"/>
      <c r="Q51" s="12"/>
      <c r="R51" s="12"/>
      <c r="S51" s="12"/>
      <c r="T51" s="12"/>
      <c r="U51" s="14"/>
    </row>
    <row r="52" spans="1:21" x14ac:dyDescent="0.25">
      <c r="A52" s="10">
        <v>10</v>
      </c>
      <c r="B52" s="12" t="s">
        <v>3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6"/>
      <c r="N52" s="13"/>
      <c r="O52" s="12"/>
      <c r="P52" s="12"/>
      <c r="Q52" s="12"/>
      <c r="R52" s="12"/>
      <c r="S52" s="12"/>
      <c r="T52" s="12"/>
      <c r="U52" s="14"/>
    </row>
    <row r="53" spans="1:21" x14ac:dyDescent="0.25">
      <c r="A53" s="19" t="s">
        <v>4</v>
      </c>
      <c r="B53" s="20"/>
      <c r="C53" s="16"/>
      <c r="D53" s="16"/>
      <c r="E53" s="16"/>
      <c r="F53" s="16"/>
      <c r="G53" s="16"/>
      <c r="H53" s="16"/>
      <c r="I53" s="16"/>
      <c r="J53" s="16"/>
      <c r="K53" s="16">
        <f>SUM(K43:K49)</f>
        <v>14320</v>
      </c>
      <c r="L53" s="16">
        <v>0.5</v>
      </c>
      <c r="M53" s="16">
        <f>K53*L53</f>
        <v>7160</v>
      </c>
      <c r="N53" s="17">
        <v>32</v>
      </c>
      <c r="O53" s="16" t="s">
        <v>42</v>
      </c>
      <c r="P53" s="16" t="s">
        <v>26</v>
      </c>
      <c r="Q53" s="16" t="s">
        <v>37</v>
      </c>
      <c r="R53" s="16">
        <f ca="1">SUM(R43:R56)</f>
        <v>11520</v>
      </c>
      <c r="S53" s="16">
        <f>SUM(S43:S50)</f>
        <v>4820</v>
      </c>
      <c r="T53" s="16">
        <f>SUM(T43:T50)</f>
        <v>5000</v>
      </c>
      <c r="U53" s="18">
        <f>SUM(U43:U50)</f>
        <v>6100</v>
      </c>
    </row>
    <row r="54" spans="1:21" x14ac:dyDescent="0.25">
      <c r="M54" s="1"/>
      <c r="N54" s="2"/>
    </row>
    <row r="55" spans="1:21" x14ac:dyDescent="0.25">
      <c r="A55" s="21" t="s">
        <v>45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3"/>
    </row>
    <row r="56" spans="1:21" x14ac:dyDescent="0.25">
      <c r="A56" s="24" t="s">
        <v>0</v>
      </c>
      <c r="B56" s="25" t="s">
        <v>1</v>
      </c>
      <c r="C56" s="25" t="s">
        <v>5</v>
      </c>
      <c r="D56" s="25"/>
      <c r="E56" s="25"/>
      <c r="F56" s="26" t="s">
        <v>6</v>
      </c>
      <c r="G56" s="26"/>
      <c r="H56" s="26"/>
      <c r="I56" s="26"/>
      <c r="J56" s="6" t="s">
        <v>7</v>
      </c>
      <c r="K56" s="6" t="s">
        <v>9</v>
      </c>
      <c r="L56" s="6" t="s">
        <v>11</v>
      </c>
      <c r="M56" s="6" t="s">
        <v>9</v>
      </c>
      <c r="N56" s="6" t="s">
        <v>14</v>
      </c>
      <c r="O56" s="6" t="s">
        <v>16</v>
      </c>
      <c r="P56" s="6" t="s">
        <v>18</v>
      </c>
      <c r="Q56" s="6" t="s">
        <v>34</v>
      </c>
      <c r="R56" s="6" t="s">
        <v>17</v>
      </c>
      <c r="S56" s="6" t="s">
        <v>17</v>
      </c>
      <c r="T56" s="6" t="s">
        <v>35</v>
      </c>
      <c r="U56" s="7" t="s">
        <v>36</v>
      </c>
    </row>
    <row r="57" spans="1:21" x14ac:dyDescent="0.25">
      <c r="A57" s="24"/>
      <c r="B57" s="25"/>
      <c r="C57" s="8">
        <v>16</v>
      </c>
      <c r="D57" s="8">
        <v>20</v>
      </c>
      <c r="E57" s="8">
        <v>40</v>
      </c>
      <c r="F57" s="9">
        <v>100</v>
      </c>
      <c r="G57" s="9">
        <v>600</v>
      </c>
      <c r="H57" s="9">
        <v>1600</v>
      </c>
      <c r="I57" s="9">
        <v>3500</v>
      </c>
      <c r="J57" s="6" t="s">
        <v>8</v>
      </c>
      <c r="K57" s="6" t="s">
        <v>10</v>
      </c>
      <c r="L57" s="6" t="s">
        <v>12</v>
      </c>
      <c r="M57" s="6" t="s">
        <v>13</v>
      </c>
      <c r="N57" s="6" t="s">
        <v>15</v>
      </c>
      <c r="O57" s="6" t="s">
        <v>17</v>
      </c>
      <c r="P57" s="6" t="s">
        <v>19</v>
      </c>
      <c r="Q57" s="6" t="s">
        <v>37</v>
      </c>
      <c r="R57" s="6" t="s">
        <v>38</v>
      </c>
      <c r="S57" s="6" t="s">
        <v>39</v>
      </c>
      <c r="T57" s="6" t="s">
        <v>39</v>
      </c>
      <c r="U57" s="7" t="s">
        <v>39</v>
      </c>
    </row>
    <row r="58" spans="1:21" x14ac:dyDescent="0.25">
      <c r="A58" s="10">
        <v>1</v>
      </c>
      <c r="B58" s="11" t="s">
        <v>46</v>
      </c>
      <c r="C58" s="12"/>
      <c r="D58" s="12"/>
      <c r="E58" s="12"/>
      <c r="F58" s="12">
        <v>14</v>
      </c>
      <c r="G58" s="12">
        <v>2</v>
      </c>
      <c r="H58" s="12"/>
      <c r="I58" s="12"/>
      <c r="J58" s="12"/>
      <c r="K58" s="12">
        <f>C58*$C$3+D58*$D$3+E58*$E$3+F58*$F$3+G58*$G$3+H58*$H$3+I58*$I$3</f>
        <v>2600</v>
      </c>
      <c r="L58" s="12">
        <v>1</v>
      </c>
      <c r="M58" s="6">
        <f>L58*K58</f>
        <v>2600</v>
      </c>
      <c r="N58" s="13">
        <f t="shared" ref="N58:N65" si="8">M58*0.0045444</f>
        <v>11.815439999999999</v>
      </c>
      <c r="O58" s="12" t="s">
        <v>22</v>
      </c>
      <c r="P58" s="12" t="s">
        <v>24</v>
      </c>
      <c r="Q58" s="12" t="s">
        <v>17</v>
      </c>
      <c r="R58" s="12">
        <f>K58</f>
        <v>2600</v>
      </c>
      <c r="S58" s="12">
        <f>IF(Q58="A",R58,0)</f>
        <v>2600</v>
      </c>
      <c r="T58" s="12">
        <f>IF(Q58="B",R58,0)</f>
        <v>0</v>
      </c>
      <c r="U58" s="14">
        <f>IF(Q58="C",R58,0)</f>
        <v>0</v>
      </c>
    </row>
    <row r="59" spans="1:21" x14ac:dyDescent="0.25">
      <c r="A59" s="10">
        <v>2</v>
      </c>
      <c r="B59" s="12" t="s">
        <v>2</v>
      </c>
      <c r="C59" s="12">
        <v>0</v>
      </c>
      <c r="D59" s="12">
        <v>4</v>
      </c>
      <c r="E59" s="12">
        <v>6</v>
      </c>
      <c r="F59" s="12"/>
      <c r="G59" s="12"/>
      <c r="H59" s="12"/>
      <c r="I59" s="12"/>
      <c r="J59" s="12"/>
      <c r="K59" s="12">
        <f>C59*$C$3+D59*$D$3+E59*$E$3+F59*$F$3+G59*$G$3+H59*$H$3+I59*$I$3</f>
        <v>320</v>
      </c>
      <c r="L59" s="12">
        <v>1</v>
      </c>
      <c r="M59" s="6">
        <f>L59*K59</f>
        <v>320</v>
      </c>
      <c r="N59" s="13">
        <f t="shared" si="8"/>
        <v>1.4542079999999999</v>
      </c>
      <c r="O59" s="12" t="s">
        <v>21</v>
      </c>
      <c r="P59" s="12" t="s">
        <v>23</v>
      </c>
      <c r="Q59" s="12" t="s">
        <v>35</v>
      </c>
      <c r="R59" s="12">
        <f>K59</f>
        <v>320</v>
      </c>
      <c r="S59" s="12">
        <f>IF(Q59="A",R59,0)</f>
        <v>0</v>
      </c>
      <c r="T59" s="12">
        <f>IF(Q59="B",R59,0)</f>
        <v>320</v>
      </c>
      <c r="U59" s="14">
        <f>IF(Q59="C",R59,0)</f>
        <v>0</v>
      </c>
    </row>
    <row r="60" spans="1:21" x14ac:dyDescent="0.25">
      <c r="A60" s="10">
        <v>3</v>
      </c>
      <c r="B60" s="11" t="s">
        <v>44</v>
      </c>
      <c r="C60" s="12"/>
      <c r="D60" s="12"/>
      <c r="E60" s="12"/>
      <c r="F60" s="12">
        <v>7</v>
      </c>
      <c r="G60" s="12">
        <v>1</v>
      </c>
      <c r="H60" s="12"/>
      <c r="I60" s="12"/>
      <c r="J60" s="12"/>
      <c r="K60" s="12">
        <f t="shared" ref="K60:K65" si="9">C60*$C$3+D60*$D$3+E60*$E$3+F60*$F$3+G60*$G$3+H60*$H$3+I60*$I$3</f>
        <v>1300</v>
      </c>
      <c r="L60" s="12">
        <v>1</v>
      </c>
      <c r="M60" s="6">
        <f t="shared" ref="M60:M65" si="10">L60*K60</f>
        <v>1300</v>
      </c>
      <c r="N60" s="15">
        <f t="shared" si="8"/>
        <v>5.9077199999999994</v>
      </c>
      <c r="O60" s="12" t="s">
        <v>20</v>
      </c>
      <c r="P60" s="12" t="s">
        <v>24</v>
      </c>
      <c r="Q60" s="12" t="s">
        <v>17</v>
      </c>
      <c r="R60" s="12">
        <f t="shared" ref="R60:R65" si="11">K60</f>
        <v>1300</v>
      </c>
      <c r="S60" s="12">
        <f t="shared" ref="S60:S65" si="12">IF(Q60="A",R60,0)</f>
        <v>1300</v>
      </c>
      <c r="T60" s="12">
        <f t="shared" ref="T60:T65" si="13">IF(Q60="B",R60,0)</f>
        <v>0</v>
      </c>
      <c r="U60" s="14">
        <f t="shared" ref="U60:U65" si="14">IF(Q60="C",R60,0)</f>
        <v>0</v>
      </c>
    </row>
    <row r="61" spans="1:21" x14ac:dyDescent="0.25">
      <c r="A61" s="10">
        <v>4</v>
      </c>
      <c r="B61" s="11" t="s">
        <v>43</v>
      </c>
      <c r="C61" s="12"/>
      <c r="D61" s="12"/>
      <c r="E61" s="12"/>
      <c r="F61" s="12">
        <v>7</v>
      </c>
      <c r="G61" s="12">
        <v>1</v>
      </c>
      <c r="H61" s="12"/>
      <c r="I61" s="12"/>
      <c r="J61" s="12"/>
      <c r="K61" s="12">
        <f t="shared" si="9"/>
        <v>1300</v>
      </c>
      <c r="L61" s="12">
        <v>1</v>
      </c>
      <c r="M61" s="6">
        <f t="shared" si="10"/>
        <v>1300</v>
      </c>
      <c r="N61" s="13">
        <f t="shared" si="8"/>
        <v>5.9077199999999994</v>
      </c>
      <c r="O61" s="12" t="s">
        <v>21</v>
      </c>
      <c r="P61" s="12" t="s">
        <v>24</v>
      </c>
      <c r="Q61" s="12" t="s">
        <v>36</v>
      </c>
      <c r="R61" s="12">
        <f t="shared" si="11"/>
        <v>1300</v>
      </c>
      <c r="S61" s="12">
        <f t="shared" si="12"/>
        <v>0</v>
      </c>
      <c r="T61" s="12">
        <f t="shared" si="13"/>
        <v>0</v>
      </c>
      <c r="U61" s="14">
        <f t="shared" si="14"/>
        <v>1300</v>
      </c>
    </row>
    <row r="62" spans="1:21" x14ac:dyDescent="0.25">
      <c r="A62" s="10">
        <v>5</v>
      </c>
      <c r="B62" s="11" t="s">
        <v>41</v>
      </c>
      <c r="C62" s="12"/>
      <c r="D62" s="12"/>
      <c r="E62" s="12"/>
      <c r="F62" s="12"/>
      <c r="G62" s="12"/>
      <c r="H62" s="12"/>
      <c r="I62" s="12">
        <v>1</v>
      </c>
      <c r="J62" s="12"/>
      <c r="K62" s="12">
        <f t="shared" si="9"/>
        <v>3500</v>
      </c>
      <c r="L62" s="12">
        <v>1</v>
      </c>
      <c r="M62" s="6">
        <f t="shared" si="10"/>
        <v>3500</v>
      </c>
      <c r="N62" s="13">
        <f t="shared" si="8"/>
        <v>15.905399999999998</v>
      </c>
      <c r="O62" s="12" t="s">
        <v>22</v>
      </c>
      <c r="P62" s="12" t="s">
        <v>25</v>
      </c>
      <c r="Q62" s="12" t="s">
        <v>35</v>
      </c>
      <c r="R62" s="12">
        <f t="shared" si="11"/>
        <v>3500</v>
      </c>
      <c r="S62" s="12">
        <f t="shared" si="12"/>
        <v>0</v>
      </c>
      <c r="T62" s="12">
        <f t="shared" si="13"/>
        <v>3500</v>
      </c>
      <c r="U62" s="14">
        <f t="shared" si="14"/>
        <v>0</v>
      </c>
    </row>
    <row r="63" spans="1:21" x14ac:dyDescent="0.25">
      <c r="A63" s="10">
        <v>6</v>
      </c>
      <c r="B63" s="11" t="s">
        <v>41</v>
      </c>
      <c r="C63" s="12"/>
      <c r="D63" s="12"/>
      <c r="E63" s="12"/>
      <c r="F63" s="12"/>
      <c r="G63" s="12"/>
      <c r="H63" s="12"/>
      <c r="I63" s="12">
        <v>1</v>
      </c>
      <c r="J63" s="12"/>
      <c r="K63" s="12">
        <f t="shared" si="9"/>
        <v>3500</v>
      </c>
      <c r="L63" s="12">
        <v>1</v>
      </c>
      <c r="M63" s="6">
        <f t="shared" si="10"/>
        <v>3500</v>
      </c>
      <c r="N63" s="13">
        <f t="shared" si="8"/>
        <v>15.905399999999998</v>
      </c>
      <c r="O63" s="12" t="s">
        <v>22</v>
      </c>
      <c r="P63" s="12" t="s">
        <v>25</v>
      </c>
      <c r="Q63" s="12" t="s">
        <v>36</v>
      </c>
      <c r="R63" s="12">
        <f t="shared" si="11"/>
        <v>3500</v>
      </c>
      <c r="S63" s="12">
        <f t="shared" si="12"/>
        <v>0</v>
      </c>
      <c r="T63" s="12">
        <f t="shared" si="13"/>
        <v>0</v>
      </c>
      <c r="U63" s="14">
        <f t="shared" si="14"/>
        <v>3500</v>
      </c>
    </row>
    <row r="64" spans="1:21" x14ac:dyDescent="0.25">
      <c r="A64" s="10">
        <v>7</v>
      </c>
      <c r="B64" s="12" t="s">
        <v>27</v>
      </c>
      <c r="C64" s="12"/>
      <c r="D64" s="12"/>
      <c r="E64" s="12"/>
      <c r="F64" s="12"/>
      <c r="G64" s="12"/>
      <c r="H64" s="12">
        <v>1</v>
      </c>
      <c r="I64" s="12"/>
      <c r="J64" s="12"/>
      <c r="K64" s="12">
        <f t="shared" si="9"/>
        <v>1600</v>
      </c>
      <c r="L64" s="12">
        <v>1</v>
      </c>
      <c r="M64" s="6">
        <f t="shared" si="10"/>
        <v>1600</v>
      </c>
      <c r="N64" s="13">
        <f t="shared" si="8"/>
        <v>7.2710399999999993</v>
      </c>
      <c r="O64" s="12" t="s">
        <v>21</v>
      </c>
      <c r="P64" s="12" t="s">
        <v>24</v>
      </c>
      <c r="Q64" s="12" t="s">
        <v>17</v>
      </c>
      <c r="R64" s="12">
        <f t="shared" si="11"/>
        <v>1600</v>
      </c>
      <c r="S64" s="12">
        <f t="shared" si="12"/>
        <v>1600</v>
      </c>
      <c r="T64" s="12">
        <f t="shared" si="13"/>
        <v>0</v>
      </c>
      <c r="U64" s="14">
        <f t="shared" si="14"/>
        <v>0</v>
      </c>
    </row>
    <row r="65" spans="1:21" x14ac:dyDescent="0.25">
      <c r="A65" s="10">
        <v>8</v>
      </c>
      <c r="B65" s="12" t="s">
        <v>27</v>
      </c>
      <c r="C65" s="12"/>
      <c r="D65" s="12"/>
      <c r="E65" s="12"/>
      <c r="F65" s="12"/>
      <c r="G65" s="12"/>
      <c r="H65" s="12">
        <v>1</v>
      </c>
      <c r="I65" s="12"/>
      <c r="J65" s="12"/>
      <c r="K65" s="12">
        <f t="shared" si="9"/>
        <v>1600</v>
      </c>
      <c r="L65" s="12">
        <v>1</v>
      </c>
      <c r="M65" s="6">
        <f t="shared" si="10"/>
        <v>1600</v>
      </c>
      <c r="N65" s="13">
        <f t="shared" si="8"/>
        <v>7.2710399999999993</v>
      </c>
      <c r="O65" s="12" t="s">
        <v>21</v>
      </c>
      <c r="P65" s="12" t="s">
        <v>24</v>
      </c>
      <c r="Q65" s="12" t="s">
        <v>35</v>
      </c>
      <c r="R65" s="12">
        <f t="shared" si="11"/>
        <v>1600</v>
      </c>
      <c r="S65" s="12">
        <f t="shared" si="12"/>
        <v>0</v>
      </c>
      <c r="T65" s="12">
        <f t="shared" si="13"/>
        <v>1600</v>
      </c>
      <c r="U65" s="14">
        <f t="shared" si="14"/>
        <v>0</v>
      </c>
    </row>
    <row r="66" spans="1:21" x14ac:dyDescent="0.25">
      <c r="A66" s="10">
        <v>9</v>
      </c>
      <c r="B66" s="12" t="s">
        <v>3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6"/>
      <c r="N66" s="13"/>
      <c r="O66" s="12"/>
      <c r="P66" s="12"/>
      <c r="Q66" s="12"/>
      <c r="R66" s="12"/>
      <c r="S66" s="12"/>
      <c r="T66" s="12"/>
      <c r="U66" s="14"/>
    </row>
    <row r="67" spans="1:21" x14ac:dyDescent="0.25">
      <c r="A67" s="10">
        <v>10</v>
      </c>
      <c r="B67" s="12" t="s">
        <v>3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6"/>
      <c r="N67" s="13"/>
      <c r="O67" s="12"/>
      <c r="P67" s="12"/>
      <c r="Q67" s="12"/>
      <c r="R67" s="12"/>
      <c r="S67" s="12"/>
      <c r="T67" s="12"/>
      <c r="U67" s="14"/>
    </row>
    <row r="68" spans="1:21" x14ac:dyDescent="0.25">
      <c r="A68" s="19" t="s">
        <v>4</v>
      </c>
      <c r="B68" s="20"/>
      <c r="C68" s="16"/>
      <c r="D68" s="16"/>
      <c r="E68" s="16"/>
      <c r="F68" s="16"/>
      <c r="G68" s="16"/>
      <c r="H68" s="16"/>
      <c r="I68" s="16"/>
      <c r="J68" s="16"/>
      <c r="K68" s="16">
        <f>SUM(K58:K64)</f>
        <v>14120</v>
      </c>
      <c r="L68" s="16">
        <v>0.5</v>
      </c>
      <c r="M68" s="16">
        <f>K68*L68</f>
        <v>7060</v>
      </c>
      <c r="N68" s="17">
        <v>32</v>
      </c>
      <c r="O68" s="16" t="s">
        <v>42</v>
      </c>
      <c r="P68" s="16" t="s">
        <v>26</v>
      </c>
      <c r="Q68" s="16" t="s">
        <v>37</v>
      </c>
      <c r="R68" s="16">
        <f>SUM(R58:R65)</f>
        <v>15720</v>
      </c>
      <c r="S68" s="16">
        <f>SUM(S58:S65)</f>
        <v>5500</v>
      </c>
      <c r="T68" s="16">
        <f>SUM(T58:T65)</f>
        <v>5420</v>
      </c>
      <c r="U68" s="18">
        <f>SUM(U58:U65)</f>
        <v>4800</v>
      </c>
    </row>
  </sheetData>
  <mergeCells count="30">
    <mergeCell ref="C28:E28"/>
    <mergeCell ref="F28:I28"/>
    <mergeCell ref="A25:B25"/>
    <mergeCell ref="A38:B38"/>
    <mergeCell ref="A1:U1"/>
    <mergeCell ref="A12:B12"/>
    <mergeCell ref="C2:E2"/>
    <mergeCell ref="F2:I2"/>
    <mergeCell ref="A2:A3"/>
    <mergeCell ref="B2:B3"/>
    <mergeCell ref="A14:U14"/>
    <mergeCell ref="A15:A16"/>
    <mergeCell ref="B15:B16"/>
    <mergeCell ref="C15:E15"/>
    <mergeCell ref="F15:I15"/>
    <mergeCell ref="A27:U27"/>
    <mergeCell ref="A28:A29"/>
    <mergeCell ref="B28:B29"/>
    <mergeCell ref="A68:B68"/>
    <mergeCell ref="A40:U40"/>
    <mergeCell ref="A41:A42"/>
    <mergeCell ref="B41:B42"/>
    <mergeCell ref="C41:E41"/>
    <mergeCell ref="F41:I41"/>
    <mergeCell ref="A53:B53"/>
    <mergeCell ref="A55:U55"/>
    <mergeCell ref="A56:A57"/>
    <mergeCell ref="B56:B57"/>
    <mergeCell ref="C56:E56"/>
    <mergeCell ref="F56:I5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2019-11-06T11:55:04Z</dcterms:modified>
</cp:coreProperties>
</file>